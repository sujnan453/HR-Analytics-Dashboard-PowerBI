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slicers/slicer1.xml" ContentType="application/vnd.ms-excel.slicer+xml"/>
  <Override PartName="/xl/tables/table2.xml" ContentType="application/vnd.openxmlformats-officedocument.spreadsheetml.table+xml"/>
  <Override PartName="/xl/tables/table3.xml" ContentType="application/vnd.openxmlformats-officedocument.spreadsheetml.table+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ables/table4.xml" ContentType="application/vnd.openxmlformats-officedocument.spreadsheetml.table+xml"/>
  <Override PartName="/xl/pivotTables/pivotTable1.xml" ContentType="application/vnd.openxmlformats-officedocument.spreadsheetml.pivotTable+xml"/>
  <Override PartName="/xl/persons/person.xml" ContentType="application/vnd.ms-excel.person+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E:\git hub proects\"/>
    </mc:Choice>
  </mc:AlternateContent>
  <xr:revisionPtr revIDLastSave="0" documentId="13_ncr:1_{15AA21F1-BD71-4FDD-944D-72383FEDFB6A}" xr6:coauthVersionLast="47" xr6:coauthVersionMax="47" xr10:uidLastSave="{00000000-0000-0000-0000-000000000000}"/>
  <bookViews>
    <workbookView xWindow="-98" yWindow="-98" windowWidth="21795" windowHeight="13695" firstSheet="7" activeTab="12" xr2:uid="{10DACE2E-749A-43A7-8993-D37E3310156F}"/>
  </bookViews>
  <sheets>
    <sheet name="PROJECT1" sheetId="14" r:id="rId1"/>
    <sheet name="BASIC " sheetId="15" r:id="rId2"/>
    <sheet name="SLICER" sheetId="16" r:id="rId3"/>
    <sheet name="HYPERLINK" sheetId="17" r:id="rId4"/>
    <sheet name="DROP DOWN" sheetId="18" r:id="rId5"/>
    <sheet name="GRAPH" sheetId="19" r:id="rId6"/>
    <sheet name="VLOOKUP" sheetId="20" r:id="rId7"/>
    <sheet name=" PIVOT TABLE1" sheetId="21" r:id="rId8"/>
    <sheet name="2" sheetId="22" r:id="rId9"/>
    <sheet name="3" sheetId="23" r:id="rId10"/>
    <sheet name="HLOOKUP" sheetId="24" r:id="rId11"/>
    <sheet name="SUMIF,IFS" sheetId="25" r:id="rId12"/>
    <sheet name="Sheet2" sheetId="26" r:id="rId13"/>
  </sheets>
  <definedNames>
    <definedName name="_xlnm._FilterDatabase" localSheetId="0" hidden="1">PROJECT1!$H$3:$H$25</definedName>
    <definedName name="_xlnm._FilterDatabase" localSheetId="2" hidden="1">SLICER!$A$3:$I$23</definedName>
    <definedName name="Slicer_GENDER1">#N/A</definedName>
    <definedName name="Slicer_HOUSE1">#N/A</definedName>
  </definedNames>
  <calcPr calcId="191029"/>
  <pivotCaches>
    <pivotCache cacheId="1" r:id="rId14"/>
  </pivotCaches>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15"/>
        <x14:slicerCache r:id="rId16"/>
      </x15:slicerCache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22" i="17" l="1"/>
  <c r="A21" i="17"/>
  <c r="A20" i="17"/>
  <c r="A19" i="17"/>
  <c r="A18" i="17"/>
  <c r="A17" i="17"/>
  <c r="A16" i="17"/>
  <c r="A15" i="17"/>
  <c r="A14" i="17"/>
  <c r="A13" i="17"/>
  <c r="A12" i="17"/>
  <c r="A11" i="17"/>
  <c r="A10" i="17"/>
  <c r="A9" i="17"/>
  <c r="A8" i="17"/>
  <c r="A7" i="17"/>
  <c r="A6" i="17"/>
  <c r="A5" i="17"/>
  <c r="A4" i="17"/>
  <c r="A3" i="17"/>
  <c r="J16" i="25"/>
  <c r="M16" i="25"/>
  <c r="I5" i="24"/>
  <c r="M5" i="24"/>
  <c r="I6" i="24"/>
  <c r="I7" i="24"/>
  <c r="I8" i="24"/>
  <c r="I9" i="24"/>
  <c r="I10" i="24"/>
  <c r="I11" i="24"/>
  <c r="I12" i="24"/>
  <c r="I13" i="24"/>
  <c r="I14" i="24"/>
  <c r="I15" i="24"/>
  <c r="I16" i="24"/>
  <c r="I17" i="24"/>
  <c r="I18" i="24"/>
  <c r="I19" i="24"/>
  <c r="I20" i="24"/>
  <c r="I21" i="24"/>
  <c r="I22" i="24"/>
  <c r="I23" i="24"/>
  <c r="I24" i="24"/>
  <c r="N7" i="20"/>
  <c r="N8" i="20"/>
  <c r="N9" i="20"/>
  <c r="N10" i="20"/>
  <c r="N11" i="20"/>
  <c r="N12" i="20"/>
  <c r="N13" i="20"/>
  <c r="N14" i="20"/>
  <c r="N15" i="20"/>
  <c r="N16" i="20"/>
  <c r="N17" i="20"/>
  <c r="N18" i="20"/>
  <c r="N19" i="20"/>
  <c r="N20" i="20"/>
  <c r="N21" i="20"/>
  <c r="N22" i="20"/>
  <c r="N23" i="20"/>
  <c r="N24" i="20"/>
  <c r="N25" i="20"/>
  <c r="N26" i="20"/>
  <c r="B2" i="15"/>
  <c r="C2" i="15"/>
  <c r="D2" i="15"/>
  <c r="B3" i="15"/>
  <c r="C3" i="15"/>
  <c r="D3" i="15"/>
  <c r="B4" i="15"/>
  <c r="C4" i="15"/>
  <c r="D4" i="15"/>
  <c r="B5" i="15"/>
  <c r="C5" i="15"/>
  <c r="D5" i="15"/>
  <c r="B6" i="15"/>
  <c r="C6" i="15"/>
  <c r="D6" i="15"/>
  <c r="H4" i="14"/>
  <c r="I4" i="14"/>
  <c r="J4" i="14"/>
  <c r="H5" i="14"/>
  <c r="I5" i="14"/>
  <c r="J5" i="14"/>
  <c r="H6" i="14"/>
  <c r="I6" i="14"/>
  <c r="J6" i="14"/>
  <c r="H7" i="14"/>
  <c r="I7" i="14"/>
  <c r="J7" i="14"/>
  <c r="H8" i="14"/>
  <c r="I8" i="14"/>
  <c r="J8" i="14"/>
  <c r="H9" i="14"/>
  <c r="I9" i="14"/>
  <c r="J9" i="14"/>
  <c r="H10" i="14"/>
  <c r="I10" i="14"/>
  <c r="J10" i="14"/>
  <c r="H11" i="14"/>
  <c r="I11" i="14"/>
  <c r="J11" i="14"/>
  <c r="H12" i="14"/>
  <c r="I12" i="14"/>
  <c r="J12" i="14"/>
  <c r="H13" i="14"/>
  <c r="I13" i="14"/>
  <c r="J13" i="14"/>
  <c r="H14" i="14"/>
  <c r="I14" i="14"/>
  <c r="J14" i="14"/>
  <c r="H15" i="14"/>
  <c r="I15" i="14"/>
  <c r="J15" i="14"/>
  <c r="H16" i="14"/>
  <c r="I16" i="14"/>
  <c r="J16" i="14"/>
  <c r="H17" i="14"/>
  <c r="I17" i="14"/>
  <c r="J17" i="14"/>
  <c r="H18" i="14"/>
  <c r="I18" i="14"/>
  <c r="J18" i="14"/>
  <c r="H19" i="14"/>
  <c r="I19" i="14"/>
  <c r="J19" i="14"/>
  <c r="H20" i="14"/>
  <c r="I20" i="14"/>
  <c r="J20" i="14"/>
  <c r="H21" i="14"/>
  <c r="I21" i="14"/>
  <c r="J21" i="14"/>
  <c r="H22" i="14"/>
  <c r="I22" i="14"/>
  <c r="J22" i="14"/>
  <c r="H23" i="14"/>
  <c r="I23" i="14"/>
  <c r="J23" i="14"/>
</calcChain>
</file>

<file path=xl/sharedStrings.xml><?xml version="1.0" encoding="utf-8"?>
<sst xmlns="http://schemas.openxmlformats.org/spreadsheetml/2006/main" count="509" uniqueCount="121">
  <si>
    <t>S.NO.</t>
  </si>
  <si>
    <t>NAME</t>
  </si>
  <si>
    <t>AGE</t>
  </si>
  <si>
    <t>LAST NAME</t>
  </si>
  <si>
    <t>FIRST NAME</t>
  </si>
  <si>
    <t>DOJ</t>
  </si>
  <si>
    <t>SAL-JAN</t>
  </si>
  <si>
    <t>SAL-FAB</t>
  </si>
  <si>
    <t>SAL-MARCH</t>
  </si>
  <si>
    <t>SAL TOTAL</t>
  </si>
  <si>
    <t>AVG SAL</t>
  </si>
  <si>
    <t>FULL NAME</t>
  </si>
  <si>
    <t>PIHU</t>
  </si>
  <si>
    <t>ARTI</t>
  </si>
  <si>
    <t>SHIVANI</t>
  </si>
  <si>
    <t>ANKITA</t>
  </si>
  <si>
    <t>UPASNA</t>
  </si>
  <si>
    <t xml:space="preserve">NITIKA </t>
  </si>
  <si>
    <t>MANISH</t>
  </si>
  <si>
    <t>VIVEK</t>
  </si>
  <si>
    <t>SAHIL</t>
  </si>
  <si>
    <t>ANKIT</t>
  </si>
  <si>
    <t>PARUL</t>
  </si>
  <si>
    <t>PAYAL</t>
  </si>
  <si>
    <t>NEHA</t>
  </si>
  <si>
    <t>PRIYA</t>
  </si>
  <si>
    <t>SORAV</t>
  </si>
  <si>
    <t>RAHUL</t>
  </si>
  <si>
    <t>SUNNY</t>
  </si>
  <si>
    <t>ASHU</t>
  </si>
  <si>
    <t>RITIKA</t>
  </si>
  <si>
    <t>SONIA</t>
  </si>
  <si>
    <t>THAKUR</t>
  </si>
  <si>
    <t>SHARMA</t>
  </si>
  <si>
    <t>SINGH</t>
  </si>
  <si>
    <t>ROUTELA</t>
  </si>
  <si>
    <t>DEVI</t>
  </si>
  <si>
    <t>JOSHI</t>
  </si>
  <si>
    <t>RAJPUT</t>
  </si>
  <si>
    <t>SAINI</t>
  </si>
  <si>
    <t>SANDHU</t>
  </si>
  <si>
    <t>EMPLOYEE SALARY DESCRIPTION</t>
  </si>
  <si>
    <t>NUMBERS</t>
  </si>
  <si>
    <t>ROUND</t>
  </si>
  <si>
    <t>ROUND UP</t>
  </si>
  <si>
    <t>ROUND DOWN</t>
  </si>
  <si>
    <t xml:space="preserve">GENDER </t>
  </si>
  <si>
    <t>M</t>
  </si>
  <si>
    <t xml:space="preserve">F </t>
  </si>
  <si>
    <t>CLASS</t>
  </si>
  <si>
    <t>HOUSE</t>
  </si>
  <si>
    <t>BHOOMI</t>
  </si>
  <si>
    <t>VAYU</t>
  </si>
  <si>
    <t>JAL</t>
  </si>
  <si>
    <t>AGNI</t>
  </si>
  <si>
    <t>UNIT TEST 1</t>
  </si>
  <si>
    <t>UNIT TEST 2</t>
  </si>
  <si>
    <t>FINAL TEST</t>
  </si>
  <si>
    <t>EMAIL</t>
  </si>
  <si>
    <t>RNM SCHOOL DATA</t>
  </si>
  <si>
    <t>Pihu@gmail.com</t>
  </si>
  <si>
    <t>Arti@gmail.com</t>
  </si>
  <si>
    <t>Shivani@gmail.com</t>
  </si>
  <si>
    <t>Ankita@gmail.com</t>
  </si>
  <si>
    <t>Upasna@gmail.com</t>
  </si>
  <si>
    <t>Nitika@gmail.com</t>
  </si>
  <si>
    <t>Manish@gmail.com</t>
  </si>
  <si>
    <t>Vivek@gmail.com</t>
  </si>
  <si>
    <t>Sahil@gmail.com</t>
  </si>
  <si>
    <t>Ankit@gmail.com</t>
  </si>
  <si>
    <t>Parul@gmail.com</t>
  </si>
  <si>
    <t>Payal@gmail.com</t>
  </si>
  <si>
    <t>Neha@gmail.com</t>
  </si>
  <si>
    <t>Priya@gmail.com</t>
  </si>
  <si>
    <t>Sorav@gmail.com</t>
  </si>
  <si>
    <t>Rahul@gmail.com</t>
  </si>
  <si>
    <t>Sunny@gmail.com</t>
  </si>
  <si>
    <t>Ashu@gmail.com</t>
  </si>
  <si>
    <t>Ritika@gmail.com</t>
  </si>
  <si>
    <t>Sonia@gmail.com</t>
  </si>
  <si>
    <t>DROP DOWN</t>
  </si>
  <si>
    <t>GRADE</t>
  </si>
  <si>
    <t xml:space="preserve">A </t>
  </si>
  <si>
    <t>B</t>
  </si>
  <si>
    <t>C</t>
  </si>
  <si>
    <t>NITIKA</t>
  </si>
  <si>
    <t>Column1</t>
  </si>
  <si>
    <t>SLICER</t>
  </si>
  <si>
    <t>GENDER</t>
  </si>
  <si>
    <t>VLOOKUP</t>
  </si>
  <si>
    <t>PIVOT TABLE</t>
  </si>
  <si>
    <t>Grand Total</t>
  </si>
  <si>
    <t>Sum of FINAL TEST</t>
  </si>
  <si>
    <t>HLOOKUP</t>
  </si>
  <si>
    <t>MARKS</t>
  </si>
  <si>
    <t>MATH</t>
  </si>
  <si>
    <t>ENGLISH</t>
  </si>
  <si>
    <t>SCIENCE</t>
  </si>
  <si>
    <t>SUBJECT</t>
  </si>
  <si>
    <t>TOTAL MARKS</t>
  </si>
  <si>
    <t>SUMIF AND SUMIFS</t>
  </si>
  <si>
    <t>STATE</t>
  </si>
  <si>
    <t>REGION</t>
  </si>
  <si>
    <t>AMOUNT</t>
  </si>
  <si>
    <t>PRIYANKA</t>
  </si>
  <si>
    <t>POOJA</t>
  </si>
  <si>
    <t>PALLAVI</t>
  </si>
  <si>
    <t>PUNJAB</t>
  </si>
  <si>
    <t>HARYANA</t>
  </si>
  <si>
    <t>GOA</t>
  </si>
  <si>
    <t>DELHI</t>
  </si>
  <si>
    <t>NORTH</t>
  </si>
  <si>
    <t>EAST</t>
  </si>
  <si>
    <t>WEST</t>
  </si>
  <si>
    <t>SUMIF</t>
  </si>
  <si>
    <t>SUMIFS</t>
  </si>
  <si>
    <t>TOTAL OF EAST</t>
  </si>
  <si>
    <t>PUNJAB STATE IN NORTH</t>
  </si>
  <si>
    <t>Contact Email Links</t>
  </si>
  <si>
    <t>Name</t>
  </si>
  <si>
    <t>Email Address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</si>
</sst>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Calibri"/>
      <family val="2"/>
      <scheme val="minor"/>
    </font>
    <font>
      <b/>
      <sz val="11"/>
      <color theme="1"/>
      <name val="Calibri"/>
      <family val="2"/>
      <scheme val="minor"/>
    </font>
    <font>
      <b/>
      <u/>
      <sz val="11"/>
      <color theme="1"/>
      <name val="Calibri"/>
      <family val="2"/>
      <scheme val="minor"/>
    </font>
    <font>
      <b/>
      <sz val="24"/>
      <color theme="3" tint="-0.499984740745262"/>
      <name val="Algerian"/>
      <family val="5"/>
    </font>
    <font>
      <b/>
      <sz val="12"/>
      <color theme="1"/>
      <name val="Calibri"/>
      <family val="2"/>
      <scheme val="minor"/>
    </font>
    <font>
      <b/>
      <sz val="14"/>
      <color theme="1"/>
      <name val="Algerian"/>
      <family val="5"/>
    </font>
    <font>
      <u/>
      <sz val="11"/>
      <color theme="10"/>
      <name val="Calibri"/>
      <family val="2"/>
      <scheme val="minor"/>
    </font>
    <font>
      <b/>
      <sz val="24"/>
      <color theme="1"/>
      <name val="Calibri"/>
      <family val="2"/>
      <scheme val="minor"/>
    </font>
    <font>
      <b/>
      <u/>
      <sz val="11"/>
      <color theme="10"/>
      <name val="Calibri"/>
      <family val="2"/>
      <scheme val="minor"/>
    </font>
    <font>
      <b/>
      <sz val="12"/>
      <color theme="0"/>
      <name val="Calibri"/>
      <family val="2"/>
      <scheme val="minor"/>
    </font>
    <font>
      <b/>
      <sz val="36"/>
      <color theme="1"/>
      <name val="Algerian"/>
      <family val="5"/>
    </font>
    <font>
      <b/>
      <u/>
      <sz val="28"/>
      <color theme="1"/>
      <name val="Bahnschrift SemiLight SemiConde"/>
      <family val="2"/>
    </font>
    <font>
      <b/>
      <sz val="28"/>
      <color theme="1"/>
      <name val="Calibri"/>
      <family val="2"/>
      <scheme val="minor"/>
    </font>
    <font>
      <b/>
      <sz val="22"/>
      <color theme="1"/>
      <name val="Bahnschrift SemiBold Condensed"/>
      <family val="2"/>
    </font>
    <font>
      <b/>
      <u/>
      <sz val="16"/>
      <color theme="1"/>
      <name val="Calibri"/>
      <family val="2"/>
      <scheme val="minor"/>
    </font>
    <font>
      <b/>
      <u/>
      <sz val="18"/>
      <color theme="1"/>
      <name val="Calibri"/>
      <family val="2"/>
      <scheme val="minor"/>
    </font>
    <font>
      <u/>
      <sz val="11"/>
      <color rgb="FF0563C1"/>
      <name val="Calibri"/>
      <family val="2"/>
      <scheme val="minor"/>
    </font>
    <font>
      <b/>
      <sz val="14"/>
      <color rgb="FFFFFFFF"/>
      <name val="Calibri"/>
      <family val="2"/>
      <scheme val="minor"/>
    </font>
    <font>
      <b/>
      <sz val="11"/>
      <color rgb="FFFFFFFF"/>
      <name val="Calibri"/>
      <family val="2"/>
      <scheme val="minor"/>
    </font>
    <font>
      <sz val="11"/>
      <color rgb="FF1F1F1F"/>
      <name val="Calibri"/>
      <family val="2"/>
      <scheme val="minor"/>
    </font>
    <font>
      <i/>
      <sz val="11"/>
      <color rgb="FFFFFFFF"/>
      <name val="Calibri"/>
      <family val="2"/>
      <scheme val="minor"/>
    </font>
  </fonts>
  <fills count="21">
    <fill>
      <patternFill patternType="none"/>
    </fill>
    <fill>
      <patternFill patternType="gray125"/>
    </fill>
    <fill>
      <patternFill patternType="solid">
        <fgColor theme="4" tint="0.59999389629810485"/>
        <bgColor indexed="64"/>
      </patternFill>
    </fill>
    <fill>
      <patternFill patternType="solid">
        <fgColor theme="5" tint="0.79998168889431442"/>
        <bgColor indexed="64"/>
      </patternFill>
    </fill>
    <fill>
      <patternFill patternType="solid">
        <fgColor rgb="FFFFFF00"/>
        <bgColor indexed="64"/>
      </patternFill>
    </fill>
    <fill>
      <patternFill patternType="solid">
        <fgColor theme="4" tint="0.39997558519241921"/>
        <bgColor indexed="64"/>
      </patternFill>
    </fill>
    <fill>
      <patternFill patternType="solid">
        <fgColor rgb="FF0070C0"/>
        <bgColor indexed="64"/>
      </patternFill>
    </fill>
    <fill>
      <patternFill patternType="solid">
        <fgColor theme="0" tint="-0.14999847407452621"/>
        <bgColor indexed="64"/>
      </patternFill>
    </fill>
    <fill>
      <patternFill patternType="solid">
        <fgColor theme="0" tint="-0.249977111117893"/>
        <bgColor indexed="64"/>
      </patternFill>
    </fill>
    <fill>
      <patternFill patternType="solid">
        <fgColor theme="8" tint="0.39997558519241921"/>
        <bgColor indexed="64"/>
      </patternFill>
    </fill>
    <fill>
      <patternFill patternType="solid">
        <fgColor theme="0" tint="-0.14999847407452621"/>
        <bgColor theme="0" tint="-0.14999847407452621"/>
      </patternFill>
    </fill>
    <fill>
      <patternFill patternType="solid">
        <fgColor rgb="FF92D050"/>
        <bgColor indexed="64"/>
      </patternFill>
    </fill>
    <fill>
      <patternFill patternType="solid">
        <fgColor theme="8" tint="0.59999389629810485"/>
        <bgColor indexed="64"/>
      </patternFill>
    </fill>
    <fill>
      <patternFill patternType="solid">
        <fgColor theme="9" tint="-0.249977111117893"/>
        <bgColor indexed="64"/>
      </patternFill>
    </fill>
    <fill>
      <patternFill patternType="solid">
        <fgColor rgb="FFFFC000"/>
        <bgColor indexed="64"/>
      </patternFill>
    </fill>
    <fill>
      <patternFill patternType="solid">
        <fgColor rgb="FF00B050"/>
        <bgColor indexed="64"/>
      </patternFill>
    </fill>
    <fill>
      <patternFill patternType="solid">
        <fgColor theme="5" tint="0.59999389629810485"/>
        <bgColor indexed="64"/>
      </patternFill>
    </fill>
    <fill>
      <patternFill patternType="solid">
        <fgColor theme="8" tint="-0.499984740745262"/>
        <bgColor indexed="64"/>
      </patternFill>
    </fill>
    <fill>
      <patternFill patternType="solid">
        <fgColor rgb="FF1F4E78"/>
        <bgColor indexed="64"/>
      </patternFill>
    </fill>
    <fill>
      <patternFill patternType="solid">
        <fgColor rgb="FF5B9BD5"/>
        <bgColor indexed="64"/>
      </patternFill>
    </fill>
    <fill>
      <patternFill patternType="solid">
        <fgColor rgb="FFFFFFFF"/>
        <bgColor indexed="64"/>
      </patternFill>
    </fill>
  </fills>
  <borders count="27">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bottom style="thin">
        <color indexed="64"/>
      </bottom>
      <diagonal/>
    </border>
    <border>
      <left/>
      <right style="thin">
        <color indexed="64"/>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rgb="FFD9EAF7"/>
      </left>
      <right style="thin">
        <color rgb="FFD9EAF7"/>
      </right>
      <top style="thin">
        <color indexed="64"/>
      </top>
      <bottom style="thin">
        <color rgb="FFD9EAF7"/>
      </bottom>
      <diagonal/>
    </border>
    <border>
      <left/>
      <right style="thin">
        <color rgb="FFD9EAF7"/>
      </right>
      <top/>
      <bottom/>
      <diagonal/>
    </border>
    <border>
      <left style="thin">
        <color rgb="FFD9EAF7"/>
      </left>
      <right style="thin">
        <color rgb="FFD9EAF7"/>
      </right>
      <top style="thin">
        <color indexed="64"/>
      </top>
      <bottom style="thin">
        <color indexed="64"/>
      </bottom>
      <diagonal/>
    </border>
  </borders>
  <cellStyleXfs count="2">
    <xf numFmtId="0" fontId="0" fillId="0" borderId="0"/>
    <xf numFmtId="0" fontId="6" fillId="0" borderId="0" applyNumberFormat="0" applyFill="0" applyBorder="0" applyAlignment="0" applyProtection="0"/>
  </cellStyleXfs>
  <cellXfs count="63">
    <xf numFmtId="0" fontId="0" fillId="0" borderId="0" xfId="0"/>
    <xf numFmtId="0" fontId="0" fillId="0" borderId="0" xfId="0" applyAlignment="1">
      <alignment horizontal="center" vertical="center"/>
    </xf>
    <xf numFmtId="0" fontId="0" fillId="0" borderId="0" xfId="0" applyAlignment="1">
      <alignment horizontal="center"/>
    </xf>
    <xf numFmtId="0" fontId="0" fillId="0" borderId="1" xfId="0" applyBorder="1" applyAlignment="1">
      <alignment horizontal="center" vertical="center"/>
    </xf>
    <xf numFmtId="0" fontId="0" fillId="0" borderId="1" xfId="0" applyBorder="1" applyAlignment="1">
      <alignment horizontal="center"/>
    </xf>
    <xf numFmtId="0" fontId="0" fillId="0" borderId="1" xfId="0" applyBorder="1"/>
    <xf numFmtId="15" fontId="0" fillId="0" borderId="1" xfId="0" applyNumberFormat="1" applyBorder="1"/>
    <xf numFmtId="0" fontId="1" fillId="2" borderId="4" xfId="0" applyFont="1" applyFill="1" applyBorder="1" applyAlignment="1">
      <alignment horizontal="center" vertical="center"/>
    </xf>
    <xf numFmtId="0" fontId="1" fillId="2" borderId="4" xfId="0" applyFont="1" applyFill="1" applyBorder="1" applyAlignment="1">
      <alignment horizontal="center"/>
    </xf>
    <xf numFmtId="0" fontId="1" fillId="2" borderId="4" xfId="0" applyFont="1" applyFill="1" applyBorder="1"/>
    <xf numFmtId="0" fontId="0" fillId="0" borderId="5" xfId="0" applyBorder="1"/>
    <xf numFmtId="0" fontId="0" fillId="0" borderId="2" xfId="0" applyBorder="1"/>
    <xf numFmtId="0" fontId="0" fillId="4" borderId="0" xfId="0" applyFill="1"/>
    <xf numFmtId="0" fontId="6" fillId="0" borderId="0" xfId="1"/>
    <xf numFmtId="0" fontId="0" fillId="0" borderId="9" xfId="0" applyBorder="1" applyAlignment="1">
      <alignment horizontal="center"/>
    </xf>
    <xf numFmtId="0" fontId="0" fillId="0" borderId="10" xfId="0" applyBorder="1"/>
    <xf numFmtId="0" fontId="0" fillId="0" borderId="13" xfId="0" applyBorder="1" applyAlignment="1">
      <alignment horizontal="center"/>
    </xf>
    <xf numFmtId="0" fontId="0" fillId="0" borderId="14" xfId="0" applyBorder="1" applyAlignment="1">
      <alignment horizontal="center"/>
    </xf>
    <xf numFmtId="0" fontId="0" fillId="0" borderId="15" xfId="0" applyBorder="1"/>
    <xf numFmtId="0" fontId="4" fillId="6" borderId="4" xfId="0" applyFont="1" applyFill="1" applyBorder="1" applyAlignment="1">
      <alignment horizontal="center"/>
    </xf>
    <xf numFmtId="0" fontId="4" fillId="6" borderId="12" xfId="0" applyFont="1" applyFill="1" applyBorder="1" applyAlignment="1">
      <alignment horizontal="center"/>
    </xf>
    <xf numFmtId="0" fontId="6" fillId="6" borderId="11" xfId="1" applyFill="1" applyBorder="1"/>
    <xf numFmtId="0" fontId="1" fillId="8" borderId="1" xfId="0" applyFont="1" applyFill="1" applyBorder="1" applyAlignment="1">
      <alignment horizontal="center"/>
    </xf>
    <xf numFmtId="0" fontId="1" fillId="8" borderId="1" xfId="0" applyFont="1" applyFill="1" applyBorder="1"/>
    <xf numFmtId="0" fontId="8" fillId="6" borderId="1" xfId="1" applyFont="1" applyFill="1" applyBorder="1"/>
    <xf numFmtId="0" fontId="0" fillId="10" borderId="1" xfId="0" applyFill="1" applyBorder="1" applyAlignment="1">
      <alignment horizontal="center"/>
    </xf>
    <xf numFmtId="0" fontId="9" fillId="6" borderId="1" xfId="0" applyFont="1" applyFill="1" applyBorder="1" applyAlignment="1">
      <alignment horizontal="center"/>
    </xf>
    <xf numFmtId="0" fontId="1" fillId="11" borderId="0" xfId="0" applyFont="1" applyFill="1"/>
    <xf numFmtId="0" fontId="1" fillId="11" borderId="1" xfId="0" applyFont="1" applyFill="1" applyBorder="1"/>
    <xf numFmtId="0" fontId="0" fillId="0" borderId="0" xfId="0" pivotButton="1"/>
    <xf numFmtId="0" fontId="1" fillId="13" borderId="1" xfId="0" applyFont="1" applyFill="1" applyBorder="1" applyAlignment="1">
      <alignment horizontal="center"/>
    </xf>
    <xf numFmtId="0" fontId="1" fillId="11" borderId="1" xfId="0" applyFont="1" applyFill="1" applyBorder="1" applyAlignment="1">
      <alignment horizontal="center"/>
    </xf>
    <xf numFmtId="0" fontId="1" fillId="16" borderId="1" xfId="0" applyFont="1" applyFill="1" applyBorder="1"/>
    <xf numFmtId="0" fontId="2" fillId="15" borderId="1" xfId="0" applyFont="1" applyFill="1" applyBorder="1" applyAlignment="1">
      <alignment horizontal="center"/>
    </xf>
    <xf numFmtId="0" fontId="14" fillId="11" borderId="1" xfId="0" applyFont="1" applyFill="1" applyBorder="1"/>
    <xf numFmtId="0" fontId="15" fillId="11" borderId="1" xfId="0" applyFont="1" applyFill="1" applyBorder="1"/>
    <xf numFmtId="0" fontId="13" fillId="17" borderId="16" xfId="0" applyFont="1" applyFill="1" applyBorder="1" applyAlignment="1">
      <alignment horizontal="center"/>
    </xf>
    <xf numFmtId="0" fontId="13" fillId="17" borderId="17" xfId="0" applyFont="1" applyFill="1" applyBorder="1" applyAlignment="1">
      <alignment horizontal="center"/>
    </xf>
    <xf numFmtId="0" fontId="13" fillId="17" borderId="18" xfId="0" applyFont="1" applyFill="1" applyBorder="1" applyAlignment="1">
      <alignment horizontal="center"/>
    </xf>
    <xf numFmtId="0" fontId="13" fillId="17" borderId="19" xfId="0" applyFont="1" applyFill="1" applyBorder="1" applyAlignment="1">
      <alignment horizontal="center"/>
    </xf>
    <xf numFmtId="0" fontId="13" fillId="17" borderId="0" xfId="0" applyFont="1" applyFill="1" applyAlignment="1">
      <alignment horizontal="center"/>
    </xf>
    <xf numFmtId="0" fontId="13" fillId="17" borderId="20" xfId="0" applyFont="1" applyFill="1" applyBorder="1" applyAlignment="1">
      <alignment horizontal="center"/>
    </xf>
    <xf numFmtId="0" fontId="13" fillId="17" borderId="21" xfId="0" applyFont="1" applyFill="1" applyBorder="1" applyAlignment="1">
      <alignment horizontal="center"/>
    </xf>
    <xf numFmtId="0" fontId="13" fillId="17" borderId="22" xfId="0" applyFont="1" applyFill="1" applyBorder="1" applyAlignment="1">
      <alignment horizontal="center"/>
    </xf>
    <xf numFmtId="0" fontId="13" fillId="17" borderId="23" xfId="0" applyFont="1" applyFill="1" applyBorder="1" applyAlignment="1">
      <alignment horizontal="center"/>
    </xf>
    <xf numFmtId="0" fontId="3" fillId="3" borderId="1" xfId="0" applyFont="1" applyFill="1" applyBorder="1" applyAlignment="1">
      <alignment horizontal="center" vertical="top"/>
    </xf>
    <xf numFmtId="0" fontId="3" fillId="3" borderId="3" xfId="0" applyFont="1" applyFill="1" applyBorder="1" applyAlignment="1">
      <alignment horizontal="center" vertical="top"/>
    </xf>
    <xf numFmtId="0" fontId="5" fillId="5" borderId="6" xfId="0" applyFont="1" applyFill="1" applyBorder="1" applyAlignment="1">
      <alignment horizontal="center"/>
    </xf>
    <xf numFmtId="0" fontId="5" fillId="5" borderId="7" xfId="0" applyFont="1" applyFill="1" applyBorder="1" applyAlignment="1">
      <alignment horizontal="center"/>
    </xf>
    <xf numFmtId="0" fontId="5" fillId="5" borderId="8" xfId="0" applyFont="1" applyFill="1" applyBorder="1" applyAlignment="1">
      <alignment horizontal="center"/>
    </xf>
    <xf numFmtId="0" fontId="1" fillId="9" borderId="0" xfId="0" applyFont="1" applyFill="1" applyAlignment="1">
      <alignment horizontal="center"/>
    </xf>
    <xf numFmtId="0" fontId="7" fillId="4" borderId="0" xfId="0" applyFont="1" applyFill="1" applyAlignment="1">
      <alignment horizontal="center"/>
    </xf>
    <xf numFmtId="0" fontId="2" fillId="7" borderId="0" xfId="0" applyFont="1" applyFill="1" applyAlignment="1">
      <alignment horizontal="center"/>
    </xf>
    <xf numFmtId="0" fontId="10" fillId="12" borderId="0" xfId="0" applyFont="1" applyFill="1" applyAlignment="1">
      <alignment horizontal="center"/>
    </xf>
    <xf numFmtId="0" fontId="11" fillId="5" borderId="0" xfId="0" applyFont="1" applyFill="1" applyAlignment="1">
      <alignment horizontal="center"/>
    </xf>
    <xf numFmtId="0" fontId="12" fillId="14" borderId="0" xfId="0" applyFont="1" applyFill="1" applyAlignment="1">
      <alignment horizontal="center"/>
    </xf>
    <xf numFmtId="0" fontId="19" fillId="20" borderId="25" xfId="0" applyNumberFormat="1" applyFont="1" applyFill="1" applyBorder="1" applyAlignment="1">
      <alignment horizontal="left"/>
    </xf>
    <xf numFmtId="0" fontId="16" fillId="20" borderId="26" xfId="1" applyNumberFormat="1" applyFont="1" applyFill="1" applyBorder="1" applyAlignment="1">
      <alignment horizontal="left"/>
    </xf>
    <xf numFmtId="0" fontId="16" fillId="20" borderId="24" xfId="1" applyNumberFormat="1" applyFont="1" applyFill="1" applyBorder="1" applyAlignment="1">
      <alignment horizontal="left"/>
    </xf>
    <xf numFmtId="0" fontId="18" fillId="19" borderId="5" xfId="1" applyNumberFormat="1" applyFont="1" applyFill="1" applyBorder="1" applyAlignment="1">
      <alignment horizontal="left"/>
    </xf>
    <xf numFmtId="0" fontId="17" fillId="18" borderId="0" xfId="0" applyNumberFormat="1" applyFont="1" applyFill="1" applyBorder="1" applyAlignment="1">
      <alignment horizontal="left"/>
    </xf>
    <xf numFmtId="0" fontId="18" fillId="19" borderId="2" xfId="0" applyNumberFormat="1" applyFont="1" applyFill="1" applyBorder="1" applyAlignment="1">
      <alignment horizontal="left"/>
    </xf>
    <xf numFmtId="0" fontId="20" fillId="18" borderId="0" xfId="0" applyNumberFormat="1" applyFont="1" applyFill="1" applyBorder="1" applyAlignment="1">
      <alignment horizontal="left"/>
    </xf>
  </cellXfs>
  <cellStyles count="2">
    <cellStyle name="Hyperlink" xfId="1" builtinId="8"/>
    <cellStyle name="Normal" xfId="0" builtinId="0"/>
  </cellStyles>
  <dxfs count="25">
    <dxf>
      <font>
        <b val="0"/>
        <i val="0"/>
        <strike val="0"/>
        <condense val="0"/>
        <extend val="0"/>
        <outline val="0"/>
        <shadow val="0"/>
        <u/>
        <vertAlign val="baseline"/>
        <sz val="11"/>
        <color rgb="FF0563C1"/>
        <name val="Calibri"/>
        <scheme val="minor"/>
      </font>
      <numFmt numFmtId="0" formatCode="General"/>
      <fill>
        <patternFill patternType="solid">
          <fgColor indexed="64"/>
          <bgColor rgb="FFFFFFFF"/>
        </patternFill>
      </fill>
      <alignment horizontal="left" vertical="bottom" textRotation="0" wrapText="0" indent="0" justifyLastLine="0" shrinkToFit="0" readingOrder="0"/>
      <border diagonalUp="0" diagonalDown="0">
        <left style="thin">
          <color rgb="FFD9EAF7"/>
        </left>
        <right style="thin">
          <color rgb="FFD9EAF7"/>
        </right>
        <top style="thin">
          <color indexed="64"/>
        </top>
        <bottom style="thin">
          <color indexed="64"/>
        </bottom>
        <vertical/>
        <horizontal style="thin">
          <color indexed="64"/>
        </horizontal>
      </border>
    </dxf>
    <dxf>
      <font>
        <b/>
        <i val="0"/>
        <strike val="0"/>
        <condense val="0"/>
        <extend val="0"/>
        <outline val="0"/>
        <shadow val="0"/>
        <u val="none"/>
        <vertAlign val="baseline"/>
        <sz val="11"/>
        <color rgb="FFFFFFFF"/>
        <name val="Calibri"/>
        <family val="2"/>
        <scheme val="minor"/>
      </font>
      <numFmt numFmtId="0" formatCode="General"/>
      <fill>
        <patternFill patternType="solid">
          <fgColor indexed="64"/>
          <bgColor rgb="FF5B9BD5"/>
        </patternFill>
      </fill>
      <alignment horizontal="left" vertical="bottom"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rgb="FF1F1F1F"/>
        <name val="Calibri"/>
        <family val="2"/>
        <scheme val="minor"/>
      </font>
      <numFmt numFmtId="0" formatCode="General"/>
      <fill>
        <patternFill patternType="solid">
          <fgColor indexed="64"/>
          <bgColor rgb="FFFFFFFF"/>
        </patternFill>
      </fill>
      <alignment horizontal="left" vertical="bottom" textRotation="0" wrapText="0" indent="0" justifyLastLine="0" shrinkToFit="0" readingOrder="0"/>
      <border diagonalUp="0" diagonalDown="0">
        <left/>
        <right style="thin">
          <color rgb="FFD9EAF7"/>
        </right>
        <top/>
        <bottom/>
        <vertical/>
        <horizontal/>
      </border>
    </dxf>
    <dxf>
      <border outline="0">
        <bottom style="thin">
          <color indexed="64"/>
        </bottom>
      </border>
    </dxf>
    <dxf>
      <border outline="0">
        <top style="thin">
          <color rgb="FF17365D"/>
        </top>
        <bottom style="thin">
          <color rgb="FFD9EAF7"/>
        </bottom>
      </border>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fill>
        <patternFill patternType="none">
          <fgColor indexed="64"/>
          <bgColor indexed="65"/>
        </patternFill>
      </fill>
      <border diagonalUp="0" diagonalDown="0">
        <left style="thin">
          <color indexed="64"/>
        </left>
        <right/>
        <top style="thin">
          <color indexed="64"/>
        </top>
        <bottom style="thin">
          <color indexed="64"/>
        </bottom>
        <vertical/>
        <horizontal/>
      </border>
    </dxf>
    <dxf>
      <fill>
        <patternFill patternType="none">
          <fgColor indexed="64"/>
          <bgColor indexed="65"/>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ill>
        <patternFill patternType="none">
          <fgColor indexed="64"/>
          <bgColor indexed="65"/>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bottom style="thin">
          <color indexed="64"/>
        </bottom>
      </border>
    </dxf>
    <dxf>
      <border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2"/>
        <color theme="1"/>
        <name val="Calibri"/>
        <family val="2"/>
        <scheme val="minor"/>
      </font>
      <fill>
        <patternFill patternType="solid">
          <fgColor indexed="64"/>
          <bgColor rgb="FF0070C0"/>
        </patternFill>
      </fill>
      <alignment horizontal="center" vertical="bottom" textRotation="0" wrapText="0"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microsoft.com/office/2007/relationships/slicerCache" Target="slicerCaches/slicerCache2.xml"/><Relationship Id="rId20"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07/relationships/slicerCache" Target="slicerCaches/slicerCache1.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barChart>
        <c:barDir val="col"/>
        <c:grouping val="clustered"/>
        <c:varyColors val="0"/>
        <c:ser>
          <c:idx val="0"/>
          <c:order val="0"/>
          <c:tx>
            <c:strRef>
              <c:f>GRAPH!$B$1</c:f>
              <c:strCache>
                <c:ptCount val="1"/>
                <c:pt idx="0">
                  <c:v>FINAL TEST</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3"/>
            <c:invertIfNegative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glow rad="101600">
                  <a:schemeClr val="accent1">
                    <a:alpha val="40000"/>
                  </a:schemeClr>
                </a:glow>
              </a:effectLst>
            </c:spPr>
            <c:extLst>
              <c:ext xmlns:c16="http://schemas.microsoft.com/office/drawing/2014/chart" uri="{C3380CC4-5D6E-409C-BE32-E72D297353CC}">
                <c16:uniqueId val="{00000001-2990-4467-B94F-F0C501A04FF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GRAPH!$A$2:$A$21</c:f>
              <c:strCache>
                <c:ptCount val="20"/>
                <c:pt idx="0">
                  <c:v>PIHU</c:v>
                </c:pt>
                <c:pt idx="1">
                  <c:v>ARTI</c:v>
                </c:pt>
                <c:pt idx="2">
                  <c:v>SHIVANI</c:v>
                </c:pt>
                <c:pt idx="3">
                  <c:v>ANKITA</c:v>
                </c:pt>
                <c:pt idx="4">
                  <c:v>UPASNA</c:v>
                </c:pt>
                <c:pt idx="5">
                  <c:v>NITIKA </c:v>
                </c:pt>
                <c:pt idx="6">
                  <c:v>MANISH</c:v>
                </c:pt>
                <c:pt idx="7">
                  <c:v>VIVEK</c:v>
                </c:pt>
                <c:pt idx="8">
                  <c:v>SAHIL</c:v>
                </c:pt>
                <c:pt idx="9">
                  <c:v>ANKIT</c:v>
                </c:pt>
                <c:pt idx="10">
                  <c:v>PARUL</c:v>
                </c:pt>
                <c:pt idx="11">
                  <c:v>PAYAL</c:v>
                </c:pt>
                <c:pt idx="12">
                  <c:v>NEHA</c:v>
                </c:pt>
                <c:pt idx="13">
                  <c:v>PRIYA</c:v>
                </c:pt>
                <c:pt idx="14">
                  <c:v>SORAV</c:v>
                </c:pt>
                <c:pt idx="15">
                  <c:v>RAHUL</c:v>
                </c:pt>
                <c:pt idx="16">
                  <c:v>SUNNY</c:v>
                </c:pt>
                <c:pt idx="17">
                  <c:v>ASHU</c:v>
                </c:pt>
                <c:pt idx="18">
                  <c:v>RITIKA</c:v>
                </c:pt>
                <c:pt idx="19">
                  <c:v>SONIA</c:v>
                </c:pt>
              </c:strCache>
            </c:strRef>
          </c:cat>
          <c:val>
            <c:numRef>
              <c:f>GRAPH!$B$2:$B$21</c:f>
              <c:numCache>
                <c:formatCode>General</c:formatCode>
                <c:ptCount val="20"/>
                <c:pt idx="0">
                  <c:v>99</c:v>
                </c:pt>
                <c:pt idx="1">
                  <c:v>78</c:v>
                </c:pt>
                <c:pt idx="2">
                  <c:v>89</c:v>
                </c:pt>
                <c:pt idx="3">
                  <c:v>98</c:v>
                </c:pt>
                <c:pt idx="4">
                  <c:v>78</c:v>
                </c:pt>
                <c:pt idx="5">
                  <c:v>89</c:v>
                </c:pt>
                <c:pt idx="6">
                  <c:v>87</c:v>
                </c:pt>
                <c:pt idx="7">
                  <c:v>89</c:v>
                </c:pt>
                <c:pt idx="8">
                  <c:v>98</c:v>
                </c:pt>
                <c:pt idx="9">
                  <c:v>68</c:v>
                </c:pt>
                <c:pt idx="10">
                  <c:v>78</c:v>
                </c:pt>
                <c:pt idx="11">
                  <c:v>87</c:v>
                </c:pt>
                <c:pt idx="12">
                  <c:v>67</c:v>
                </c:pt>
                <c:pt idx="13">
                  <c:v>76</c:v>
                </c:pt>
                <c:pt idx="14">
                  <c:v>78</c:v>
                </c:pt>
                <c:pt idx="15">
                  <c:v>87</c:v>
                </c:pt>
                <c:pt idx="16">
                  <c:v>78</c:v>
                </c:pt>
                <c:pt idx="17">
                  <c:v>87</c:v>
                </c:pt>
                <c:pt idx="18">
                  <c:v>89</c:v>
                </c:pt>
                <c:pt idx="19">
                  <c:v>78</c:v>
                </c:pt>
              </c:numCache>
            </c:numRef>
          </c:val>
          <c:extLst>
            <c:ext xmlns:c16="http://schemas.microsoft.com/office/drawing/2014/chart" uri="{C3380CC4-5D6E-409C-BE32-E72D297353CC}">
              <c16:uniqueId val="{00000002-2990-4467-B94F-F0C501A04FF8}"/>
            </c:ext>
          </c:extLst>
        </c:ser>
        <c:dLbls>
          <c:dLblPos val="outEnd"/>
          <c:showLegendKey val="0"/>
          <c:showVal val="1"/>
          <c:showCatName val="0"/>
          <c:showSerName val="0"/>
          <c:showPercent val="0"/>
          <c:showBubbleSize val="0"/>
        </c:dLbls>
        <c:gapWidth val="100"/>
        <c:overlap val="-24"/>
        <c:axId val="1295859551"/>
        <c:axId val="1295866271"/>
      </c:barChart>
      <c:catAx>
        <c:axId val="1295859551"/>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NAMES</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95866271"/>
        <c:crosses val="autoZero"/>
        <c:auto val="1"/>
        <c:lblAlgn val="ctr"/>
        <c:lblOffset val="100"/>
        <c:noMultiLvlLbl val="0"/>
      </c:catAx>
      <c:valAx>
        <c:axId val="1295866271"/>
        <c:scaling>
          <c:orientation val="minMax"/>
        </c:scaling>
        <c:delete val="0"/>
        <c:axPos val="l"/>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TOTAL MARKS</a:t>
                </a:r>
              </a:p>
            </c:rich>
          </c:tx>
          <c:layout>
            <c:manualLayout>
              <c:xMode val="edge"/>
              <c:yMode val="edge"/>
              <c:x val="1.1079455523899969E-2"/>
              <c:y val="0.25346108052282934"/>
            </c:manualLayout>
          </c:layout>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95859551"/>
        <c:crosses val="autoZero"/>
        <c:crossBetween val="between"/>
      </c:valAx>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absoluteAnchor>
    <xdr:pos x="7828599" y="2089787"/>
    <xdr:ext cx="1943100" cy="988695"/>
    <mc:AlternateContent xmlns:mc="http://schemas.openxmlformats.org/markup-compatibility/2006">
      <mc:Choice xmlns:sle15="http://schemas.microsoft.com/office/drawing/2012/slicer" Requires="sle15">
        <xdr:graphicFrame macro="">
          <xdr:nvGraphicFramePr>
            <xdr:cNvPr id="2" name="GENDER  1">
              <a:extLst>
                <a:ext uri="{FF2B5EF4-FFF2-40B4-BE49-F238E27FC236}">
                  <a16:creationId xmlns:a16="http://schemas.microsoft.com/office/drawing/2014/main" id="{A221A79C-A60A-4507-B0C3-11CB2486238D}"/>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dr:sp macro="" textlink="">
          <xdr:nvSpPr>
            <xdr:cNvPr id="0" name=""/>
            <xdr:cNvSpPr>
              <a:spLocks noTextEdit="1"/>
            </xdr:cNvSpPr>
          </xdr:nvSpPr>
          <xdr:spPr>
            <a:xfrm>
              <a:off x="7828599" y="2089787"/>
              <a:ext cx="1943100" cy="988695"/>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absoluteAnchor>
  <xdr:absoluteAnchor>
    <xdr:pos x="7808596" y="633413"/>
    <xdr:ext cx="1943100" cy="1440180"/>
    <mc:AlternateContent xmlns:mc="http://schemas.openxmlformats.org/markup-compatibility/2006">
      <mc:Choice xmlns:sle15="http://schemas.microsoft.com/office/drawing/2012/slicer" Requires="sle15">
        <xdr:graphicFrame macro="">
          <xdr:nvGraphicFramePr>
            <xdr:cNvPr id="3" name="HOUSE 1">
              <a:extLst>
                <a:ext uri="{FF2B5EF4-FFF2-40B4-BE49-F238E27FC236}">
                  <a16:creationId xmlns:a16="http://schemas.microsoft.com/office/drawing/2014/main" id="{D1FA145E-AEF1-4A39-B17E-6748B9957436}"/>
                </a:ext>
              </a:extLst>
            </xdr:cNvPr>
            <xdr:cNvGraphicFramePr/>
          </xdr:nvGraphicFramePr>
          <xdr:xfrm>
            <a:off x="0" y="0"/>
            <a:ext cx="0" cy="0"/>
          </xdr:xfrm>
          <a:graphic>
            <a:graphicData uri="http://schemas.microsoft.com/office/drawing/2010/slicer">
              <sle:slicer xmlns:sle="http://schemas.microsoft.com/office/drawing/2010/slicer" name="HOUSE 1"/>
            </a:graphicData>
          </a:graphic>
        </xdr:graphicFrame>
      </mc:Choice>
      <mc:Fallback>
        <xdr:sp macro="" textlink="">
          <xdr:nvSpPr>
            <xdr:cNvPr id="0" name=""/>
            <xdr:cNvSpPr>
              <a:spLocks noTextEdit="1"/>
            </xdr:cNvSpPr>
          </xdr:nvSpPr>
          <xdr:spPr>
            <a:xfrm>
              <a:off x="7808596" y="633413"/>
              <a:ext cx="1943100" cy="1440180"/>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absoluteAnchor>
</xdr:wsDr>
</file>

<file path=xl/drawings/drawing2.xml><?xml version="1.0" encoding="utf-8"?>
<xdr:wsDr xmlns:xdr="http://schemas.openxmlformats.org/drawingml/2006/spreadsheetDrawing" xmlns:a="http://schemas.openxmlformats.org/drawingml/2006/main">
  <xdr:twoCellAnchor>
    <xdr:from>
      <xdr:col>4</xdr:col>
      <xdr:colOff>419100</xdr:colOff>
      <xdr:row>3</xdr:row>
      <xdr:rowOff>99060</xdr:rowOff>
    </xdr:from>
    <xdr:to>
      <xdr:col>17</xdr:col>
      <xdr:colOff>518160</xdr:colOff>
      <xdr:row>20</xdr:row>
      <xdr:rowOff>30480</xdr:rowOff>
    </xdr:to>
    <xdr:graphicFrame macro="">
      <xdr:nvGraphicFramePr>
        <xdr:cNvPr id="2" name="Chart 1">
          <a:extLst>
            <a:ext uri="{FF2B5EF4-FFF2-40B4-BE49-F238E27FC236}">
              <a16:creationId xmlns:a16="http://schemas.microsoft.com/office/drawing/2014/main" id="{04D380FF-1203-4F8E-8C0A-C7EC1ABEB7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2" Type="http://schemas.microsoft.com/office/2006/relationships/xlExternalLinkPath/xlPathMissing" Target="MS-%20Excel%20PROJECT.xlsx" TargetMode="External"/><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itya Jaswal" refreshedDate="45097.66706886574" createdVersion="8" refreshedVersion="8" minRefreshableVersion="3" recordCount="20" xr:uid="{A007F2A1-707B-449D-A446-0D545D37F902}">
  <cacheSource type="worksheet">
    <worksheetSource ref="A4:H24" sheet=" PIVOT TABLE1" r:id="rId2"/>
  </cacheSource>
  <cacheFields count="8">
    <cacheField name="NAME" numFmtId="0">
      <sharedItems count="20">
        <s v="PIHU"/>
        <s v="ARTI"/>
        <s v="SHIVANI"/>
        <s v="ANKITA"/>
        <s v="UPASNA"/>
        <s v="NITIKA "/>
        <s v="MANISH"/>
        <s v="VIVEK"/>
        <s v="SAHIL"/>
        <s v="ANKIT"/>
        <s v="PARUL"/>
        <s v="PAYAL"/>
        <s v="NEHA"/>
        <s v="PRIYA"/>
        <s v="SORAV"/>
        <s v="RAHUL"/>
        <s v="SUNNY"/>
        <s v="ASHU"/>
        <s v="RITIKA"/>
        <s v="SONIA"/>
      </sharedItems>
    </cacheField>
    <cacheField name="GENDER" numFmtId="0">
      <sharedItems count="2">
        <s v="F "/>
        <s v="M"/>
      </sharedItems>
    </cacheField>
    <cacheField name="AGE" numFmtId="0">
      <sharedItems containsSemiMixedTypes="0" containsString="0" containsNumber="1" containsInteger="1" minValue="8" maxValue="29"/>
    </cacheField>
    <cacheField name="CLASS" numFmtId="0">
      <sharedItems containsSemiMixedTypes="0" containsString="0" containsNumber="1" containsInteger="1" minValue="4" maxValue="9" count="6">
        <n v="7"/>
        <n v="8"/>
        <n v="4"/>
        <n v="5"/>
        <n v="6"/>
        <n v="9"/>
      </sharedItems>
    </cacheField>
    <cacheField name="HOUSE" numFmtId="0">
      <sharedItems count="4">
        <s v="BHOOMI"/>
        <s v="VAYU"/>
        <s v="JAL"/>
        <s v="AGNI"/>
      </sharedItems>
    </cacheField>
    <cacheField name="UNIT TEST 1" numFmtId="0">
      <sharedItems containsSemiMixedTypes="0" containsString="0" containsNumber="1" containsInteger="1" minValue="65" maxValue="99" count="9">
        <n v="84"/>
        <n v="78"/>
        <n v="67"/>
        <n v="65"/>
        <n v="99"/>
        <n v="87"/>
        <n v="76"/>
        <n v="98"/>
        <n v="89"/>
      </sharedItems>
    </cacheField>
    <cacheField name="UNIT TEST 2" numFmtId="0">
      <sharedItems containsSemiMixedTypes="0" containsString="0" containsNumber="1" containsInteger="1" minValue="67" maxValue="98"/>
    </cacheField>
    <cacheField name="FINAL TEST" numFmtId="0">
      <sharedItems containsSemiMixedTypes="0" containsString="0" containsNumber="1" containsInteger="1" minValue="67" maxValue="99" count="8">
        <n v="99"/>
        <n v="78"/>
        <n v="89"/>
        <n v="98"/>
        <n v="87"/>
        <n v="68"/>
        <n v="67"/>
        <n v="76"/>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
  <r>
    <x v="0"/>
    <x v="0"/>
    <n v="10"/>
    <x v="0"/>
    <x v="0"/>
    <x v="0"/>
    <n v="78"/>
    <x v="0"/>
  </r>
  <r>
    <x v="1"/>
    <x v="0"/>
    <n v="11"/>
    <x v="1"/>
    <x v="1"/>
    <x v="1"/>
    <n v="87"/>
    <x v="1"/>
  </r>
  <r>
    <x v="2"/>
    <x v="0"/>
    <n v="12"/>
    <x v="1"/>
    <x v="2"/>
    <x v="2"/>
    <n v="67"/>
    <x v="2"/>
  </r>
  <r>
    <x v="3"/>
    <x v="0"/>
    <n v="13"/>
    <x v="2"/>
    <x v="3"/>
    <x v="3"/>
    <n v="76"/>
    <x v="3"/>
  </r>
  <r>
    <x v="4"/>
    <x v="0"/>
    <n v="14"/>
    <x v="3"/>
    <x v="1"/>
    <x v="4"/>
    <n v="78"/>
    <x v="1"/>
  </r>
  <r>
    <x v="5"/>
    <x v="0"/>
    <n v="8"/>
    <x v="4"/>
    <x v="0"/>
    <x v="5"/>
    <n v="89"/>
    <x v="2"/>
  </r>
  <r>
    <x v="6"/>
    <x v="1"/>
    <n v="16"/>
    <x v="3"/>
    <x v="2"/>
    <x v="1"/>
    <n v="98"/>
    <x v="4"/>
  </r>
  <r>
    <x v="7"/>
    <x v="1"/>
    <n v="17"/>
    <x v="4"/>
    <x v="3"/>
    <x v="2"/>
    <n v="89"/>
    <x v="2"/>
  </r>
  <r>
    <x v="8"/>
    <x v="1"/>
    <n v="18"/>
    <x v="0"/>
    <x v="0"/>
    <x v="6"/>
    <n v="87"/>
    <x v="3"/>
  </r>
  <r>
    <x v="9"/>
    <x v="1"/>
    <n v="19"/>
    <x v="1"/>
    <x v="3"/>
    <x v="1"/>
    <n v="89"/>
    <x v="5"/>
  </r>
  <r>
    <x v="10"/>
    <x v="0"/>
    <n v="20"/>
    <x v="5"/>
    <x v="2"/>
    <x v="5"/>
    <n v="87"/>
    <x v="1"/>
  </r>
  <r>
    <x v="11"/>
    <x v="0"/>
    <n v="9"/>
    <x v="3"/>
    <x v="1"/>
    <x v="1"/>
    <n v="89"/>
    <x v="4"/>
  </r>
  <r>
    <x v="12"/>
    <x v="0"/>
    <n v="22"/>
    <x v="5"/>
    <x v="3"/>
    <x v="5"/>
    <n v="76"/>
    <x v="6"/>
  </r>
  <r>
    <x v="13"/>
    <x v="0"/>
    <n v="12"/>
    <x v="1"/>
    <x v="1"/>
    <x v="1"/>
    <n v="78"/>
    <x v="7"/>
  </r>
  <r>
    <x v="14"/>
    <x v="1"/>
    <n v="10"/>
    <x v="1"/>
    <x v="2"/>
    <x v="7"/>
    <n v="87"/>
    <x v="1"/>
  </r>
  <r>
    <x v="15"/>
    <x v="1"/>
    <n v="25"/>
    <x v="5"/>
    <x v="0"/>
    <x v="8"/>
    <n v="89"/>
    <x v="4"/>
  </r>
  <r>
    <x v="16"/>
    <x v="1"/>
    <n v="13"/>
    <x v="0"/>
    <x v="2"/>
    <x v="1"/>
    <n v="87"/>
    <x v="1"/>
  </r>
  <r>
    <x v="17"/>
    <x v="1"/>
    <n v="27"/>
    <x v="4"/>
    <x v="3"/>
    <x v="5"/>
    <n v="78"/>
    <x v="4"/>
  </r>
  <r>
    <x v="18"/>
    <x v="0"/>
    <n v="15"/>
    <x v="3"/>
    <x v="2"/>
    <x v="7"/>
    <n v="76"/>
    <x v="2"/>
  </r>
  <r>
    <x v="19"/>
    <x v="0"/>
    <n v="29"/>
    <x v="2"/>
    <x v="1"/>
    <x v="8"/>
    <n v="78"/>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238ABFC-D438-405C-955D-6C720B645C4E}" name="PivotTable7" cacheId="1"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3:C11" firstHeaderRow="1" firstDataRow="1" firstDataCol="2"/>
  <pivotFields count="8">
    <pivotField compact="0" outline="0" showAll="0" defaultSubtotal="0"/>
    <pivotField axis="axisRow" compact="0" outline="0" showAll="0" defaultSubtotal="0">
      <items count="2">
        <item x="0"/>
        <item x="1"/>
      </items>
    </pivotField>
    <pivotField compact="0" outline="0" showAll="0" defaultSubtotal="0"/>
    <pivotField compact="0" outline="0" showAll="0" defaultSubtotal="0">
      <items count="6">
        <item x="2"/>
        <item x="3"/>
        <item x="4"/>
        <item x="0"/>
        <item x="1"/>
        <item x="5"/>
      </items>
    </pivotField>
    <pivotField axis="axisRow" compact="0" outline="0" showAll="0" sortType="descending" defaultSubtotal="0">
      <items count="4">
        <item x="3"/>
        <item x="0"/>
        <item x="2"/>
        <item x="1"/>
      </items>
      <autoSortScope>
        <pivotArea dataOnly="0" outline="0" fieldPosition="0">
          <references count="1">
            <reference field="4294967294" count="1" selected="0">
              <x v="0"/>
            </reference>
          </references>
        </pivotArea>
      </autoSortScope>
    </pivotField>
    <pivotField compact="0" outline="0" showAll="0" defaultSubtotal="0">
      <items count="9">
        <item x="3"/>
        <item x="2"/>
        <item x="6"/>
        <item x="1"/>
        <item x="0"/>
        <item x="5"/>
        <item x="8"/>
        <item x="7"/>
        <item x="4"/>
      </items>
    </pivotField>
    <pivotField compact="0" outline="0" showAll="0" defaultSubtotal="0"/>
    <pivotField dataField="1" compact="0" outline="0" showAll="0" defaultSubtotal="0">
      <items count="8">
        <item x="6"/>
        <item x="5"/>
        <item x="7"/>
        <item x="1"/>
        <item x="4"/>
        <item x="2"/>
        <item x="3"/>
        <item x="0"/>
      </items>
    </pivotField>
  </pivotFields>
  <rowFields count="2">
    <field x="4"/>
    <field x="1"/>
  </rowFields>
  <rowItems count="8">
    <i>
      <x v="2"/>
      <x/>
    </i>
    <i r="1">
      <x v="1"/>
    </i>
    <i>
      <x/>
      <x/>
    </i>
    <i r="1">
      <x v="1"/>
    </i>
    <i>
      <x v="3"/>
      <x/>
    </i>
    <i>
      <x v="1"/>
      <x/>
    </i>
    <i r="1">
      <x v="1"/>
    </i>
    <i t="grand">
      <x/>
    </i>
  </rowItems>
  <colItems count="1">
    <i/>
  </colItems>
  <dataFields count="1">
    <dataField name="Sum of FINAL TEST" fld="7" baseField="0" baseItem="0"/>
  </dataFields>
  <pivotTableStyleInfo name="PivotStyleMedium2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1" xr10:uid="{FE1E9579-7F89-49E7-81F9-A0C1FC5808FA}" sourceName="GENDER ">
  <extLst>
    <x:ext xmlns:x15="http://schemas.microsoft.com/office/spreadsheetml/2010/11/main" uri="{2F2917AC-EB37-4324-AD4E-5DD8C200BD13}">
      <x15:tableSlicerCache tableId="4" column="2"/>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HOUSE1" xr10:uid="{69CB6721-BA6A-46ED-91EF-4D006229BE0C}" sourceName="HOUSE">
  <extLst>
    <x:ext xmlns:x15="http://schemas.microsoft.com/office/spreadsheetml/2010/11/main" uri="{2F2917AC-EB37-4324-AD4E-5DD8C200BD13}">
      <x15:tableSlicerCache tableId="4" column="5"/>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1" xr10:uid="{89F67D3D-0B73-41B2-8B55-895D75B5757E}" cache="Slicer_GENDER1" caption="GENDER " rowHeight="234950"/>
  <slicer name="HOUSE 1" xr10:uid="{BE5582D4-258D-4199-B883-8C6D4700C60C}" cache="Slicer_HOUSE1" caption="HOUSE"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62265626-8BD4-48E4-BFD5-3AB1BD263E6F}" name="Table15" displayName="Table15" ref="A3:I23" totalsRowShown="0" headerRowDxfId="24" headerRowBorderDxfId="22" tableBorderDxfId="23" totalsRowBorderDxfId="21">
  <autoFilter ref="A3:I23" xr:uid="{E69ADC88-0251-4928-92CA-BB58E462AA0D}">
    <filterColumn colId="1">
      <filters>
        <filter val="M"/>
      </filters>
    </filterColumn>
  </autoFilter>
  <tableColumns count="9">
    <tableColumn id="1" xr3:uid="{94E9059E-B834-41B7-9FE0-D88169DBF1FD}" name="NAME" dataDxfId="20"/>
    <tableColumn id="2" xr3:uid="{9F124B96-5A28-4B27-A4E4-49A87BF3DE7A}" name="GENDER " dataDxfId="19"/>
    <tableColumn id="3" xr3:uid="{3F566F1A-734C-4423-A9D7-737D1E9A6085}" name="AGE" dataDxfId="18"/>
    <tableColumn id="4" xr3:uid="{D405964A-741B-4829-93CF-5CAA8F90E8F3}" name="CLASS" dataDxfId="17"/>
    <tableColumn id="5" xr3:uid="{8E925A59-0FA3-4C93-BCE1-8E0E8ED94BF2}" name="HOUSE" dataDxfId="16"/>
    <tableColumn id="6" xr3:uid="{F336B28B-E759-48AB-B49F-5FDE5BAE1A72}" name="UNIT TEST 1" dataDxfId="15"/>
    <tableColumn id="7" xr3:uid="{8DB3E780-666F-4656-BFE8-F910B4FE7AF0}" name="UNIT TEST 2" dataDxfId="14"/>
    <tableColumn id="8" xr3:uid="{D00EE9B0-87E4-4112-AA54-0A3A4963C6B0}" name="FINAL TEST" dataDxfId="13"/>
    <tableColumn id="9" xr3:uid="{C90FB390-63E3-4D4C-A281-33401402E7B0}" name="EMAIL" dataDxfId="12"/>
  </tableColumns>
  <tableStyleInfo name="TableStyleMedium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81846F2D-DE6A-49C0-A0B4-11AED88AF2DB}" name="Contact_Email_Links" displayName="Contact_Email_Links" ref="A2:B22" totalsRowShown="0" headerRowDxfId="1" headerRowBorderDxfId="3" tableBorderDxfId="4" headerRowCellStyle="Hyperlink">
  <autoFilter ref="A2:B22" xr:uid="{81846F2D-DE6A-49C0-A0B4-11AED88AF2DB}"/>
  <tableColumns count="2">
    <tableColumn id="1" xr3:uid="{19D0CB45-BC44-42A4-8B8A-7CD0268E30CB}" name="Name" dataDxfId="0" dataCellStyle="Hyperlink"/>
    <tableColumn id="2" xr3:uid="{FF165193-BE06-4F65-AC9E-8DE2509EA382}" name="Email Address" dataDxfId="2"/>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6FC51E65-E1D7-4D7E-A763-B2221EFDEA3A}" name="Table36" displayName="Table36" ref="B3:B7" totalsRowShown="0" headerRowDxfId="11" dataDxfId="10">
  <autoFilter ref="B3:B7" xr:uid="{6E8AA52B-CE9E-4909-81E9-CFB842A7B7E7}"/>
  <tableColumns count="1">
    <tableColumn id="1" xr3:uid="{39D4FF5F-0AAE-47B1-90D1-9121F74A4C6D}" name="Column1" dataDxfId="9"/>
  </tableColumns>
  <tableStyleInfo name="TableStyleMedium1"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A50AE653-F651-4539-8619-A30C6C012FB2}" name="Table27" displayName="Table27" ref="A1:H4" totalsRowShown="0">
  <autoFilter ref="A1:H4" xr:uid="{131E4E9B-C8F6-4826-9080-2A2D40BF1026}"/>
  <tableColumns count="8">
    <tableColumn id="1" xr3:uid="{312A3A53-2E15-4732-BB73-239D9F95FDAB}" name="NAME"/>
    <tableColumn id="2" xr3:uid="{5867AD7B-0123-4D4C-BEF7-C00A786E7E5F}" name="GENDER"/>
    <tableColumn id="3" xr3:uid="{C358ACE6-6C80-458F-9A2A-924A5C5B0C03}" name="AGE"/>
    <tableColumn id="4" xr3:uid="{61330B6F-7379-4368-8367-9C02F1EE62BB}" name="CLASS"/>
    <tableColumn id="5" xr3:uid="{5EE58B79-16A5-44B7-98F5-610A2FF6BA5C}" name="HOUSE"/>
    <tableColumn id="6" xr3:uid="{6D95E099-FB0A-46C5-BCD5-FFEFA7FD3E3C}" name="UNIT TEST 1"/>
    <tableColumn id="7" xr3:uid="{0EE0FF87-D6AC-4A64-979E-48006CCB0221}" name="UNIT TEST 2"/>
    <tableColumn id="8" xr3:uid="{07B2F326-6D56-459B-8110-704EC3DDE030}" name="FINAL TEST"/>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Blue Green">
      <a:dk1>
        <a:sysClr val="windowText" lastClr="000000"/>
      </a:dk1>
      <a:lt1>
        <a:sysClr val="window" lastClr="FFFFFF"/>
      </a:lt1>
      <a:dk2>
        <a:srgbClr val="373545"/>
      </a:dk2>
      <a:lt2>
        <a:srgbClr val="CEDBE6"/>
      </a:lt2>
      <a:accent1>
        <a:srgbClr val="3494BA"/>
      </a:accent1>
      <a:accent2>
        <a:srgbClr val="58B6C0"/>
      </a:accent2>
      <a:accent3>
        <a:srgbClr val="75BDA7"/>
      </a:accent3>
      <a:accent4>
        <a:srgbClr val="7A8C8E"/>
      </a:accent4>
      <a:accent5>
        <a:srgbClr val="84ACB6"/>
      </a:accent5>
      <a:accent6>
        <a:srgbClr val="2683C6"/>
      </a:accent6>
      <a:hlink>
        <a:srgbClr val="6B9F25"/>
      </a:hlink>
      <a:folHlink>
        <a:srgbClr val="9F6715"/>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700" row="5">
    <wetp:webextensionref xmlns:r="http://schemas.openxmlformats.org/officeDocument/2006/relationships" r:id="rId1"/>
  </wetp:taskpane>
</wetp:taskpanes>
</file>

<file path=xl/webextensions/webextension1.xml><?xml version="1.0" encoding="utf-8"?>
<we:webextension xmlns:we="http://schemas.microsoft.com/office/webextensions/webextension/2010/11" id="{1A2316A5-DE24-471E-AC76-EC40141DADD7}">
  <we:reference id="wa200010215" version="2.0.0.0" store="en-US" storeType="OMEX"/>
  <we:alternateReferences>
    <we:reference id="wa200010215" version="2.0.0.0" store="wa200010215" storeType="OMEX"/>
  </we:alternateReferences>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rinterSettings" Target="../printerSettings/printerSettings2.bin"/><Relationship Id="rId4" Type="http://schemas.microsoft.com/office/2007/relationships/slicer" Target="../slicers/slicer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1" Type="http://schemas.openxmlformats.org/officeDocument/2006/relationships/table" Target="../tables/table3.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9.xml.rels><?xml version="1.0" encoding="UTF-8" standalone="yes"?>
<Relationships xmlns="http://schemas.openxmlformats.org/package/2006/relationships"><Relationship Id="rId1" Type="http://schemas.openxmlformats.org/officeDocument/2006/relationships/table" Target="../tables/table4.xml"/></Relationships>
</file>

<file path=xl/worksheets/_rels/sheet10.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AC54F5-748E-442E-B361-9E5468B45049}">
  <dimension ref="A1:N24"/>
  <sheetViews>
    <sheetView zoomScale="106" workbookViewId="0">
      <selection activeCell="J4" sqref="J4"/>
    </sheetView>
  </sheetViews>
  <sheetFormatPr defaultRowHeight="14.25" x14ac:dyDescent="0.45"/>
  <cols>
    <col min="1" max="1" width="9.06640625" style="1"/>
    <col min="2" max="2" width="11" style="2" bestFit="1" customWidth="1"/>
    <col min="3" max="3" width="10.46484375" style="2" bestFit="1" customWidth="1"/>
    <col min="4" max="4" width="9" bestFit="1" customWidth="1"/>
    <col min="5" max="6" width="9.06640625" style="2"/>
    <col min="7" max="7" width="10.796875" style="2" bestFit="1" customWidth="1"/>
    <col min="8" max="8" width="9.6640625" style="2" bestFit="1" customWidth="1"/>
    <col min="9" max="9" width="7.796875" style="2" bestFit="1" customWidth="1"/>
    <col min="10" max="10" width="15.6640625" bestFit="1" customWidth="1"/>
  </cols>
  <sheetData>
    <row r="1" spans="1:14" x14ac:dyDescent="0.45">
      <c r="A1" s="45" t="s">
        <v>41</v>
      </c>
      <c r="B1" s="45"/>
      <c r="C1" s="45"/>
      <c r="D1" s="45"/>
      <c r="E1" s="45"/>
      <c r="F1" s="45"/>
      <c r="G1" s="45"/>
      <c r="H1" s="45"/>
      <c r="I1" s="45"/>
      <c r="J1" s="45"/>
    </row>
    <row r="2" spans="1:14" ht="14.65" thickBot="1" x14ac:dyDescent="0.5">
      <c r="A2" s="46"/>
      <c r="B2" s="46"/>
      <c r="C2" s="46"/>
      <c r="D2" s="46"/>
      <c r="E2" s="46"/>
      <c r="F2" s="46"/>
      <c r="G2" s="46"/>
      <c r="H2" s="46"/>
      <c r="I2" s="46"/>
      <c r="J2" s="46"/>
    </row>
    <row r="3" spans="1:14" x14ac:dyDescent="0.45">
      <c r="A3" s="7" t="s">
        <v>0</v>
      </c>
      <c r="B3" s="8" t="s">
        <v>4</v>
      </c>
      <c r="C3" s="8" t="s">
        <v>3</v>
      </c>
      <c r="D3" s="9" t="s">
        <v>5</v>
      </c>
      <c r="E3" s="8" t="s">
        <v>6</v>
      </c>
      <c r="F3" s="8" t="s">
        <v>7</v>
      </c>
      <c r="G3" s="8" t="s">
        <v>8</v>
      </c>
      <c r="H3" s="8" t="s">
        <v>9</v>
      </c>
      <c r="I3" s="8" t="s">
        <v>10</v>
      </c>
      <c r="J3" s="9" t="s">
        <v>11</v>
      </c>
    </row>
    <row r="4" spans="1:14" x14ac:dyDescent="0.45">
      <c r="A4" s="3">
        <v>1</v>
      </c>
      <c r="B4" s="4" t="s">
        <v>12</v>
      </c>
      <c r="C4" s="4" t="s">
        <v>32</v>
      </c>
      <c r="D4" s="6">
        <v>43842</v>
      </c>
      <c r="E4" s="4">
        <v>1500</v>
      </c>
      <c r="F4" s="4">
        <v>1200</v>
      </c>
      <c r="G4" s="4">
        <v>1500</v>
      </c>
      <c r="H4" s="4">
        <f>SUM(E4,F4,G4)</f>
        <v>4200</v>
      </c>
      <c r="I4" s="4">
        <f>AVERAGE(E4,F4,G4,)</f>
        <v>1050</v>
      </c>
      <c r="J4" s="4" t="str">
        <f>_xlfn.CONCAT(B4,"   ",C4)</f>
        <v>PIHU   THAKUR</v>
      </c>
    </row>
    <row r="5" spans="1:14" x14ac:dyDescent="0.45">
      <c r="A5" s="3">
        <v>2</v>
      </c>
      <c r="B5" s="4" t="s">
        <v>13</v>
      </c>
      <c r="C5" s="4" t="s">
        <v>33</v>
      </c>
      <c r="D5" s="6">
        <v>43843</v>
      </c>
      <c r="E5" s="4">
        <v>2000</v>
      </c>
      <c r="F5" s="4">
        <v>1600</v>
      </c>
      <c r="G5" s="4">
        <v>1600</v>
      </c>
      <c r="H5" s="4">
        <f>SUM(E5,F5,G5)</f>
        <v>5200</v>
      </c>
      <c r="I5" s="4">
        <f>AVERAGE(E5,F5,G5,)</f>
        <v>1300</v>
      </c>
      <c r="J5" s="4" t="str">
        <f>_xlfn.CONCAT(B5,"   ",C5)</f>
        <v>ARTI   SHARMA</v>
      </c>
      <c r="N5" s="3"/>
    </row>
    <row r="6" spans="1:14" x14ac:dyDescent="0.45">
      <c r="A6" s="3">
        <v>3</v>
      </c>
      <c r="B6" s="4" t="s">
        <v>14</v>
      </c>
      <c r="C6" s="4" t="s">
        <v>34</v>
      </c>
      <c r="D6" s="6">
        <v>43844</v>
      </c>
      <c r="E6" s="4">
        <v>1900</v>
      </c>
      <c r="F6" s="4">
        <v>1800</v>
      </c>
      <c r="G6" s="4">
        <v>1500</v>
      </c>
      <c r="H6" s="4">
        <f>SUM(E6,F6,G6)</f>
        <v>5200</v>
      </c>
      <c r="I6" s="4">
        <f>AVERAGE(E6,F6,G6,)</f>
        <v>1300</v>
      </c>
      <c r="J6" s="4" t="str">
        <f>_xlfn.CONCAT(B6,"   ",C6)</f>
        <v>SHIVANI   SINGH</v>
      </c>
    </row>
    <row r="7" spans="1:14" x14ac:dyDescent="0.45">
      <c r="A7" s="3">
        <v>4</v>
      </c>
      <c r="B7" s="4" t="s">
        <v>15</v>
      </c>
      <c r="C7" s="4" t="s">
        <v>36</v>
      </c>
      <c r="D7" s="6">
        <v>43845</v>
      </c>
      <c r="E7" s="4">
        <v>1800</v>
      </c>
      <c r="F7" s="4">
        <v>1900</v>
      </c>
      <c r="G7" s="4">
        <v>1400</v>
      </c>
      <c r="H7" s="4">
        <f>SUM(E7,F7,G7)</f>
        <v>5100</v>
      </c>
      <c r="I7" s="4">
        <f>AVERAGE(E7,F7,G7,)</f>
        <v>1275</v>
      </c>
      <c r="J7" s="4" t="str">
        <f>_xlfn.CONCAT(B7,"   ",C7)</f>
        <v>ANKITA   DEVI</v>
      </c>
    </row>
    <row r="8" spans="1:14" x14ac:dyDescent="0.45">
      <c r="A8" s="3">
        <v>5</v>
      </c>
      <c r="B8" s="4" t="s">
        <v>16</v>
      </c>
      <c r="C8" s="4" t="s">
        <v>35</v>
      </c>
      <c r="D8" s="6">
        <v>43846</v>
      </c>
      <c r="E8" s="4">
        <v>1600</v>
      </c>
      <c r="F8" s="4">
        <v>1000</v>
      </c>
      <c r="G8" s="4">
        <v>1600</v>
      </c>
      <c r="H8" s="4">
        <f>SUM(E8,F8,G8)</f>
        <v>4200</v>
      </c>
      <c r="I8" s="4">
        <f>AVERAGE(E8,F8,G8,)</f>
        <v>1050</v>
      </c>
      <c r="J8" s="4" t="str">
        <f>_xlfn.CONCAT(B8,"   ",C8)</f>
        <v>UPASNA   ROUTELA</v>
      </c>
      <c r="L8" s="2"/>
    </row>
    <row r="9" spans="1:14" x14ac:dyDescent="0.45">
      <c r="A9" s="3">
        <v>6</v>
      </c>
      <c r="B9" s="4" t="s">
        <v>17</v>
      </c>
      <c r="C9" s="4" t="s">
        <v>32</v>
      </c>
      <c r="D9" s="6">
        <v>43847</v>
      </c>
      <c r="E9" s="4">
        <v>1200</v>
      </c>
      <c r="F9" s="4">
        <v>1200</v>
      </c>
      <c r="G9" s="4">
        <v>1500</v>
      </c>
      <c r="H9" s="4">
        <f>SUM(E9,F9,G9)</f>
        <v>3900</v>
      </c>
      <c r="I9" s="4">
        <f>AVERAGE(E9,F9,G9,)</f>
        <v>975</v>
      </c>
      <c r="J9" s="4" t="str">
        <f>_xlfn.CONCAT(B9,"   ",C9)</f>
        <v>NITIKA    THAKUR</v>
      </c>
    </row>
    <row r="10" spans="1:14" x14ac:dyDescent="0.45">
      <c r="A10" s="3">
        <v>7</v>
      </c>
      <c r="B10" s="4" t="s">
        <v>18</v>
      </c>
      <c r="C10" s="4" t="s">
        <v>33</v>
      </c>
      <c r="D10" s="6">
        <v>43848</v>
      </c>
      <c r="E10" s="4">
        <v>1800</v>
      </c>
      <c r="F10" s="4">
        <v>1200</v>
      </c>
      <c r="G10" s="4">
        <v>1600</v>
      </c>
      <c r="H10" s="4">
        <f>SUM(E10,F10,G10)</f>
        <v>4600</v>
      </c>
      <c r="I10" s="4">
        <f>AVERAGE(E10,F10,G10,)</f>
        <v>1150</v>
      </c>
      <c r="J10" s="4" t="str">
        <f>_xlfn.CONCAT(B10,"   ",C10)</f>
        <v>MANISH   SHARMA</v>
      </c>
      <c r="L10" s="10"/>
    </row>
    <row r="11" spans="1:14" x14ac:dyDescent="0.45">
      <c r="A11" s="3">
        <v>8</v>
      </c>
      <c r="B11" s="4" t="s">
        <v>19</v>
      </c>
      <c r="C11" s="4" t="s">
        <v>37</v>
      </c>
      <c r="D11" s="6">
        <v>43849</v>
      </c>
      <c r="E11" s="4">
        <v>1000</v>
      </c>
      <c r="F11" s="4">
        <v>1500</v>
      </c>
      <c r="G11" s="4">
        <v>1300</v>
      </c>
      <c r="H11" s="4">
        <f>SUM(E11,F11,G11)</f>
        <v>3800</v>
      </c>
      <c r="I11" s="4">
        <f>AVERAGE(E11,F11,G11,)</f>
        <v>950</v>
      </c>
      <c r="J11" s="4" t="str">
        <f>_xlfn.CONCAT(B11,"   ",C11)</f>
        <v>VIVEK   JOSHI</v>
      </c>
    </row>
    <row r="12" spans="1:14" x14ac:dyDescent="0.45">
      <c r="A12" s="3">
        <v>9</v>
      </c>
      <c r="B12" s="4" t="s">
        <v>20</v>
      </c>
      <c r="C12" s="4" t="s">
        <v>32</v>
      </c>
      <c r="D12" s="6">
        <v>43850</v>
      </c>
      <c r="E12" s="4">
        <v>1200</v>
      </c>
      <c r="F12" s="4">
        <v>1400</v>
      </c>
      <c r="G12" s="4">
        <v>1300</v>
      </c>
      <c r="H12" s="4">
        <f>SUM(E12,F12,G12)</f>
        <v>3900</v>
      </c>
      <c r="I12" s="4">
        <f>AVERAGE(E12,F12,G12,)</f>
        <v>975</v>
      </c>
      <c r="J12" s="4" t="str">
        <f>_xlfn.CONCAT(B12,"   ",C12)</f>
        <v>SAHIL   THAKUR</v>
      </c>
    </row>
    <row r="13" spans="1:14" x14ac:dyDescent="0.45">
      <c r="A13" s="3">
        <v>10</v>
      </c>
      <c r="B13" s="4" t="s">
        <v>21</v>
      </c>
      <c r="C13" s="4" t="s">
        <v>34</v>
      </c>
      <c r="D13" s="6">
        <v>43851</v>
      </c>
      <c r="E13" s="4">
        <v>1600</v>
      </c>
      <c r="F13" s="4">
        <v>1300</v>
      </c>
      <c r="G13" s="4">
        <v>1400</v>
      </c>
      <c r="H13" s="4">
        <f>SUM(E13,F13,G13)</f>
        <v>4300</v>
      </c>
      <c r="I13" s="4">
        <f>AVERAGE(E13,F13,G13,)</f>
        <v>1075</v>
      </c>
      <c r="J13" s="4" t="str">
        <f>_xlfn.CONCAT(B13,"   ",C13)</f>
        <v>ANKIT   SINGH</v>
      </c>
      <c r="N13" s="10"/>
    </row>
    <row r="14" spans="1:14" x14ac:dyDescent="0.45">
      <c r="A14" s="3">
        <v>11</v>
      </c>
      <c r="B14" s="4" t="s">
        <v>22</v>
      </c>
      <c r="C14" s="4" t="s">
        <v>36</v>
      </c>
      <c r="D14" s="6">
        <v>43852</v>
      </c>
      <c r="E14" s="4">
        <v>1100</v>
      </c>
      <c r="F14" s="4">
        <v>1400</v>
      </c>
      <c r="G14" s="4">
        <v>1400</v>
      </c>
      <c r="H14" s="4">
        <f>SUM(E14,F14,G14)</f>
        <v>3900</v>
      </c>
      <c r="I14" s="4">
        <f>AVERAGE(E14,F14,G14,)</f>
        <v>975</v>
      </c>
      <c r="J14" s="4" t="str">
        <f>_xlfn.CONCAT(B14,"   ",C14)</f>
        <v>PARUL   DEVI</v>
      </c>
    </row>
    <row r="15" spans="1:14" x14ac:dyDescent="0.45">
      <c r="A15" s="3">
        <v>12</v>
      </c>
      <c r="B15" s="4" t="s">
        <v>23</v>
      </c>
      <c r="C15" s="4" t="s">
        <v>38</v>
      </c>
      <c r="D15" s="6">
        <v>43853</v>
      </c>
      <c r="E15" s="4">
        <v>1200</v>
      </c>
      <c r="F15" s="4">
        <v>1500</v>
      </c>
      <c r="G15" s="4">
        <v>1400</v>
      </c>
      <c r="H15" s="4">
        <f>SUM(E15,F15,G15)</f>
        <v>4100</v>
      </c>
      <c r="I15" s="4">
        <f>AVERAGE(E15,F15,G15,)</f>
        <v>1025</v>
      </c>
      <c r="J15" s="4" t="str">
        <f>_xlfn.CONCAT(B15,"   ",C15)</f>
        <v>PAYAL   RAJPUT</v>
      </c>
      <c r="N15" s="11"/>
    </row>
    <row r="16" spans="1:14" x14ac:dyDescent="0.45">
      <c r="A16" s="3">
        <v>13</v>
      </c>
      <c r="B16" s="4" t="s">
        <v>24</v>
      </c>
      <c r="C16" s="4" t="s">
        <v>36</v>
      </c>
      <c r="D16" s="6">
        <v>43854</v>
      </c>
      <c r="E16" s="4">
        <v>1300</v>
      </c>
      <c r="F16" s="4">
        <v>1600</v>
      </c>
      <c r="G16" s="4">
        <v>1500</v>
      </c>
      <c r="H16" s="4">
        <f>SUM(E16,F16,G16)</f>
        <v>4400</v>
      </c>
      <c r="I16" s="4">
        <f>AVERAGE(E16,F16,G16,)</f>
        <v>1100</v>
      </c>
      <c r="J16" s="4" t="str">
        <f>_xlfn.CONCAT(B16,"   ",C16)</f>
        <v>NEHA   DEVI</v>
      </c>
    </row>
    <row r="17" spans="1:10" x14ac:dyDescent="0.45">
      <c r="A17" s="3">
        <v>14</v>
      </c>
      <c r="B17" s="4" t="s">
        <v>25</v>
      </c>
      <c r="C17" s="4" t="s">
        <v>32</v>
      </c>
      <c r="D17" s="6">
        <v>43855</v>
      </c>
      <c r="E17" s="4">
        <v>1800</v>
      </c>
      <c r="F17" s="4">
        <v>1900</v>
      </c>
      <c r="G17" s="4">
        <v>1700</v>
      </c>
      <c r="H17" s="4">
        <f>SUM(E17,F17,G17)</f>
        <v>5400</v>
      </c>
      <c r="I17" s="4">
        <f>AVERAGE(E17,F17,G17,)</f>
        <v>1350</v>
      </c>
      <c r="J17" s="4" t="str">
        <f>_xlfn.CONCAT(B17,"   ",C17)</f>
        <v>PRIYA   THAKUR</v>
      </c>
    </row>
    <row r="18" spans="1:10" x14ac:dyDescent="0.45">
      <c r="A18" s="3">
        <v>15</v>
      </c>
      <c r="B18" s="4" t="s">
        <v>26</v>
      </c>
      <c r="C18" s="4" t="s">
        <v>34</v>
      </c>
      <c r="D18" s="6">
        <v>43856</v>
      </c>
      <c r="E18" s="4">
        <v>2000</v>
      </c>
      <c r="F18" s="4">
        <v>1200</v>
      </c>
      <c r="G18" s="4">
        <v>1800</v>
      </c>
      <c r="H18" s="4">
        <f>SUM(E18,F18,G18)</f>
        <v>5000</v>
      </c>
      <c r="I18" s="4">
        <f>AVERAGE(E18,F18,G18,)</f>
        <v>1250</v>
      </c>
      <c r="J18" s="4" t="str">
        <f>_xlfn.CONCAT(B18,"   ",C18)</f>
        <v>SORAV   SINGH</v>
      </c>
    </row>
    <row r="19" spans="1:10" x14ac:dyDescent="0.45">
      <c r="A19" s="3">
        <v>16</v>
      </c>
      <c r="B19" s="4" t="s">
        <v>27</v>
      </c>
      <c r="C19" s="4" t="s">
        <v>38</v>
      </c>
      <c r="D19" s="6">
        <v>43857</v>
      </c>
      <c r="E19" s="4">
        <v>1200</v>
      </c>
      <c r="F19" s="4">
        <v>1700</v>
      </c>
      <c r="G19" s="4">
        <v>1900</v>
      </c>
      <c r="H19" s="4">
        <f>SUM(E19,F19,G19)</f>
        <v>4800</v>
      </c>
      <c r="I19" s="4">
        <f>AVERAGE(E19,F19,G19,)</f>
        <v>1200</v>
      </c>
      <c r="J19" s="4" t="str">
        <f>_xlfn.CONCAT(B19,"   ",C19)</f>
        <v>RAHUL   RAJPUT</v>
      </c>
    </row>
    <row r="20" spans="1:10" x14ac:dyDescent="0.45">
      <c r="A20" s="3">
        <v>17</v>
      </c>
      <c r="B20" s="4" t="s">
        <v>28</v>
      </c>
      <c r="C20" s="4" t="s">
        <v>38</v>
      </c>
      <c r="D20" s="6">
        <v>43858</v>
      </c>
      <c r="E20" s="4">
        <v>1600</v>
      </c>
      <c r="F20" s="4">
        <v>1500</v>
      </c>
      <c r="G20" s="4">
        <v>2000</v>
      </c>
      <c r="H20" s="4">
        <f>SUM(E20,F20,G20)</f>
        <v>5100</v>
      </c>
      <c r="I20" s="4">
        <f>AVERAGE(E20,F20,G20,)</f>
        <v>1275</v>
      </c>
      <c r="J20" s="4" t="str">
        <f>_xlfn.CONCAT(B20,"   ",C20)</f>
        <v>SUNNY   RAJPUT</v>
      </c>
    </row>
    <row r="21" spans="1:10" x14ac:dyDescent="0.45">
      <c r="A21" s="3">
        <v>18</v>
      </c>
      <c r="B21" s="4" t="s">
        <v>29</v>
      </c>
      <c r="C21" s="4" t="s">
        <v>39</v>
      </c>
      <c r="D21" s="6">
        <v>43859</v>
      </c>
      <c r="E21" s="4">
        <v>1200</v>
      </c>
      <c r="F21" s="4">
        <v>1400</v>
      </c>
      <c r="G21" s="4">
        <v>1200</v>
      </c>
      <c r="H21" s="4">
        <f>SUM(E21,F21,G21)</f>
        <v>3800</v>
      </c>
      <c r="I21" s="4">
        <f>AVERAGE(E21,F21,G21,)</f>
        <v>950</v>
      </c>
      <c r="J21" s="4" t="str">
        <f>_xlfn.CONCAT(B21,"   ",C21)</f>
        <v>ASHU   SAINI</v>
      </c>
    </row>
    <row r="22" spans="1:10" x14ac:dyDescent="0.45">
      <c r="A22" s="3">
        <v>19</v>
      </c>
      <c r="B22" s="4" t="s">
        <v>30</v>
      </c>
      <c r="C22" s="4" t="s">
        <v>32</v>
      </c>
      <c r="D22" s="6">
        <v>43860</v>
      </c>
      <c r="E22" s="4">
        <v>1700</v>
      </c>
      <c r="F22" s="4">
        <v>1400</v>
      </c>
      <c r="G22" s="4">
        <v>1400</v>
      </c>
      <c r="H22" s="4">
        <f>SUM(E22,F22,G22)</f>
        <v>4500</v>
      </c>
      <c r="I22" s="4">
        <f>AVERAGE(E22,F22,G22,)</f>
        <v>1125</v>
      </c>
      <c r="J22" s="4" t="str">
        <f>_xlfn.CONCAT(B22,"   ",C22)</f>
        <v>RITIKA   THAKUR</v>
      </c>
    </row>
    <row r="23" spans="1:10" x14ac:dyDescent="0.45">
      <c r="A23" s="3">
        <v>20</v>
      </c>
      <c r="B23" s="4" t="s">
        <v>31</v>
      </c>
      <c r="C23" s="4" t="s">
        <v>40</v>
      </c>
      <c r="D23" s="6">
        <v>43861</v>
      </c>
      <c r="E23" s="4">
        <v>1100</v>
      </c>
      <c r="F23" s="4">
        <v>1400</v>
      </c>
      <c r="G23" s="4">
        <v>1500</v>
      </c>
      <c r="H23" s="4">
        <f>SUM(E23,F23,G23)</f>
        <v>4000</v>
      </c>
      <c r="I23" s="4">
        <f>AVERAGE(E23,F23,G23,)</f>
        <v>1000</v>
      </c>
      <c r="J23" s="4" t="str">
        <f>_xlfn.CONCAT(B23,"   ",C23)</f>
        <v>SONIA   SANDHU</v>
      </c>
    </row>
    <row r="24" spans="1:10" x14ac:dyDescent="0.45">
      <c r="A24"/>
      <c r="B24"/>
      <c r="C24"/>
      <c r="E24"/>
      <c r="F24"/>
      <c r="G24"/>
      <c r="H24"/>
      <c r="I24"/>
    </row>
  </sheetData>
  <mergeCells count="1">
    <mergeCell ref="A1:J2"/>
  </mergeCells>
  <conditionalFormatting sqref="H3:H1048576">
    <cfRule type="colorScale" priority="2">
      <colorScale>
        <cfvo type="min"/>
        <cfvo type="percentile" val="50"/>
        <cfvo type="max"/>
        <color rgb="FFF8696B"/>
        <color rgb="FFFFEB84"/>
        <color rgb="FF63BE7B"/>
      </colorScale>
    </cfRule>
  </conditionalFormatting>
  <conditionalFormatting sqref="J3:J1048576">
    <cfRule type="duplicateValues" dxfId="8" priority="1"/>
  </conditionalFormatting>
  <conditionalFormatting sqref="L8">
    <cfRule type="colorScale" priority="3">
      <colorScale>
        <cfvo type="min"/>
        <cfvo type="max"/>
        <color rgb="FFF8696B"/>
        <color rgb="FFFCFCFF"/>
      </colorScale>
    </cfRule>
  </conditionalFormatting>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C3BD45-B81F-4DDB-9E5F-9F41AF80AD0D}">
  <dimension ref="A1:D6"/>
  <sheetViews>
    <sheetView workbookViewId="0">
      <selection activeCell="D2" sqref="D2"/>
    </sheetView>
  </sheetViews>
  <sheetFormatPr defaultRowHeight="14.25" x14ac:dyDescent="0.45"/>
  <cols>
    <col min="1" max="1" width="9.46484375" style="2" bestFit="1" customWidth="1"/>
    <col min="2" max="2" width="9.06640625" style="2"/>
    <col min="3" max="3" width="10.1328125" style="2" bestFit="1" customWidth="1"/>
    <col min="4" max="4" width="13.53125" style="2" bestFit="1" customWidth="1"/>
  </cols>
  <sheetData>
    <row r="1" spans="1:4" x14ac:dyDescent="0.45">
      <c r="A1" s="30" t="s">
        <v>42</v>
      </c>
      <c r="B1" s="30" t="s">
        <v>43</v>
      </c>
      <c r="C1" s="30" t="s">
        <v>44</v>
      </c>
      <c r="D1" s="30" t="s">
        <v>45</v>
      </c>
    </row>
    <row r="2" spans="1:4" x14ac:dyDescent="0.45">
      <c r="A2" s="4">
        <v>1.0333300000000001</v>
      </c>
      <c r="B2" s="4">
        <f>ROUND(A2,0)</f>
        <v>1</v>
      </c>
      <c r="C2" s="4">
        <f>ROUNDUP(A2,0)</f>
        <v>2</v>
      </c>
      <c r="D2" s="4">
        <f>ROUNDDOWN(A2,0)</f>
        <v>1</v>
      </c>
    </row>
    <row r="3" spans="1:4" x14ac:dyDescent="0.45">
      <c r="A3" s="4">
        <v>2.0555599999999998</v>
      </c>
      <c r="B3" s="4">
        <f>ROUND(A3,0)</f>
        <v>2</v>
      </c>
      <c r="C3" s="4">
        <f>ROUNDUP(A3,0)</f>
        <v>3</v>
      </c>
      <c r="D3" s="4">
        <f>ROUNDDOWN(A3,0)</f>
        <v>2</v>
      </c>
    </row>
    <row r="4" spans="1:4" x14ac:dyDescent="0.45">
      <c r="A4" s="4">
        <v>3.4567800000000002</v>
      </c>
      <c r="B4" s="4">
        <f>ROUND(A4,0)</f>
        <v>3</v>
      </c>
      <c r="C4" s="4">
        <f>ROUNDUP(A4,0)</f>
        <v>4</v>
      </c>
      <c r="D4" s="4">
        <f>ROUNDDOWN(A4,0)</f>
        <v>3</v>
      </c>
    </row>
    <row r="5" spans="1:4" x14ac:dyDescent="0.45">
      <c r="A5" s="4">
        <v>4.5678000000000001</v>
      </c>
      <c r="B5" s="4">
        <f>ROUND(A5,0)</f>
        <v>5</v>
      </c>
      <c r="C5" s="4">
        <f>ROUNDUP(A5,0)</f>
        <v>5</v>
      </c>
      <c r="D5" s="4">
        <f>ROUNDDOWN(A5,0)</f>
        <v>4</v>
      </c>
    </row>
    <row r="6" spans="1:4" x14ac:dyDescent="0.45">
      <c r="A6" s="4">
        <v>5.9999900000000004</v>
      </c>
      <c r="B6" s="4">
        <f>ROUND(A6,0)</f>
        <v>6</v>
      </c>
      <c r="C6" s="4">
        <f>ROUNDUP(A6,0)</f>
        <v>6</v>
      </c>
      <c r="D6" s="4">
        <f>ROUNDDOWN(A6,0)</f>
        <v>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22419A-07D3-4628-BD84-991A01FBDA0C}">
  <dimension ref="A1:P25"/>
  <sheetViews>
    <sheetView topLeftCell="F1" workbookViewId="0">
      <selection activeCell="N28" sqref="N28"/>
    </sheetView>
  </sheetViews>
  <sheetFormatPr defaultRowHeight="14.25" x14ac:dyDescent="0.45"/>
  <cols>
    <col min="2" max="2" width="11.19921875" style="2" customWidth="1"/>
    <col min="3" max="4" width="9.06640625" style="2"/>
    <col min="5" max="5" width="9.46484375" style="2" customWidth="1"/>
    <col min="6" max="6" width="14" style="2" customWidth="1"/>
    <col min="7" max="7" width="14" customWidth="1"/>
    <col min="8" max="8" width="15.86328125" bestFit="1" customWidth="1"/>
    <col min="9" max="9" width="17.53125" bestFit="1" customWidth="1"/>
  </cols>
  <sheetData>
    <row r="1" spans="1:12" ht="19.899999999999999" thickBot="1" x14ac:dyDescent="0.65">
      <c r="A1" s="47" t="s">
        <v>59</v>
      </c>
      <c r="B1" s="48"/>
      <c r="C1" s="48"/>
      <c r="D1" s="48"/>
      <c r="E1" s="48"/>
      <c r="F1" s="48"/>
      <c r="G1" s="48"/>
      <c r="H1" s="48"/>
      <c r="I1" s="48"/>
      <c r="J1" s="49"/>
    </row>
    <row r="3" spans="1:12" ht="15.75" x14ac:dyDescent="0.5">
      <c r="A3" s="21" t="s">
        <v>1</v>
      </c>
      <c r="B3" s="19" t="s">
        <v>46</v>
      </c>
      <c r="C3" s="19" t="s">
        <v>2</v>
      </c>
      <c r="D3" s="19" t="s">
        <v>49</v>
      </c>
      <c r="E3" s="19" t="s">
        <v>50</v>
      </c>
      <c r="F3" s="19" t="s">
        <v>55</v>
      </c>
      <c r="G3" s="19" t="s">
        <v>56</v>
      </c>
      <c r="H3" s="19" t="s">
        <v>57</v>
      </c>
      <c r="I3" s="20" t="s">
        <v>58</v>
      </c>
      <c r="J3" s="12"/>
    </row>
    <row r="4" spans="1:12" hidden="1" x14ac:dyDescent="0.45">
      <c r="A4" s="14" t="s">
        <v>12</v>
      </c>
      <c r="B4" s="4" t="s">
        <v>48</v>
      </c>
      <c r="C4" s="4">
        <v>10</v>
      </c>
      <c r="D4" s="4">
        <v>7</v>
      </c>
      <c r="E4" s="4" t="s">
        <v>51</v>
      </c>
      <c r="F4" s="4">
        <v>84</v>
      </c>
      <c r="G4" s="4">
        <v>78</v>
      </c>
      <c r="H4" s="4">
        <v>99</v>
      </c>
      <c r="I4" s="15" t="s">
        <v>60</v>
      </c>
      <c r="J4" s="50" t="s">
        <v>87</v>
      </c>
      <c r="K4" s="50"/>
      <c r="L4" s="50"/>
    </row>
    <row r="5" spans="1:12" hidden="1" x14ac:dyDescent="0.45">
      <c r="A5" s="14" t="s">
        <v>13</v>
      </c>
      <c r="B5" s="4" t="s">
        <v>48</v>
      </c>
      <c r="C5" s="4">
        <v>11</v>
      </c>
      <c r="D5" s="4">
        <v>8</v>
      </c>
      <c r="E5" s="4" t="s">
        <v>52</v>
      </c>
      <c r="F5" s="4">
        <v>78</v>
      </c>
      <c r="G5" s="4">
        <v>87</v>
      </c>
      <c r="H5" s="4">
        <v>78</v>
      </c>
      <c r="I5" s="15" t="s">
        <v>61</v>
      </c>
    </row>
    <row r="6" spans="1:12" hidden="1" x14ac:dyDescent="0.45">
      <c r="A6" s="14" t="s">
        <v>14</v>
      </c>
      <c r="B6" s="4" t="s">
        <v>48</v>
      </c>
      <c r="C6" s="4">
        <v>12</v>
      </c>
      <c r="D6" s="4">
        <v>8</v>
      </c>
      <c r="E6" s="4" t="s">
        <v>53</v>
      </c>
      <c r="F6" s="4">
        <v>67</v>
      </c>
      <c r="G6" s="4">
        <v>67</v>
      </c>
      <c r="H6" s="4">
        <v>89</v>
      </c>
      <c r="I6" s="15" t="s">
        <v>62</v>
      </c>
    </row>
    <row r="7" spans="1:12" hidden="1" x14ac:dyDescent="0.45">
      <c r="A7" s="14" t="s">
        <v>15</v>
      </c>
      <c r="B7" s="4" t="s">
        <v>48</v>
      </c>
      <c r="C7" s="4">
        <v>13</v>
      </c>
      <c r="D7" s="4">
        <v>4</v>
      </c>
      <c r="E7" s="4" t="s">
        <v>54</v>
      </c>
      <c r="F7" s="4">
        <v>65</v>
      </c>
      <c r="G7" s="4">
        <v>76</v>
      </c>
      <c r="H7" s="4">
        <v>98</v>
      </c>
      <c r="I7" s="15" t="s">
        <v>63</v>
      </c>
    </row>
    <row r="8" spans="1:12" hidden="1" x14ac:dyDescent="0.45">
      <c r="A8" s="14" t="s">
        <v>16</v>
      </c>
      <c r="B8" s="4" t="s">
        <v>48</v>
      </c>
      <c r="C8" s="4">
        <v>14</v>
      </c>
      <c r="D8" s="4">
        <v>5</v>
      </c>
      <c r="E8" s="4" t="s">
        <v>52</v>
      </c>
      <c r="F8" s="4">
        <v>99</v>
      </c>
      <c r="G8" s="4">
        <v>78</v>
      </c>
      <c r="H8" s="4">
        <v>78</v>
      </c>
      <c r="I8" s="15" t="s">
        <v>64</v>
      </c>
    </row>
    <row r="9" spans="1:12" hidden="1" x14ac:dyDescent="0.45">
      <c r="A9" s="14" t="s">
        <v>17</v>
      </c>
      <c r="B9" s="4" t="s">
        <v>48</v>
      </c>
      <c r="C9" s="4">
        <v>8</v>
      </c>
      <c r="D9" s="4">
        <v>6</v>
      </c>
      <c r="E9" s="4" t="s">
        <v>51</v>
      </c>
      <c r="F9" s="4">
        <v>87</v>
      </c>
      <c r="G9" s="4">
        <v>89</v>
      </c>
      <c r="H9" s="4">
        <v>89</v>
      </c>
      <c r="I9" s="15" t="s">
        <v>65</v>
      </c>
    </row>
    <row r="10" spans="1:12" x14ac:dyDescent="0.45">
      <c r="A10" s="14" t="s">
        <v>18</v>
      </c>
      <c r="B10" s="4" t="s">
        <v>47</v>
      </c>
      <c r="C10" s="4">
        <v>16</v>
      </c>
      <c r="D10" s="4">
        <v>5</v>
      </c>
      <c r="E10" s="4" t="s">
        <v>53</v>
      </c>
      <c r="F10" s="4">
        <v>78</v>
      </c>
      <c r="G10" s="4">
        <v>98</v>
      </c>
      <c r="H10" s="4">
        <v>87</v>
      </c>
      <c r="I10" s="15" t="s">
        <v>66</v>
      </c>
    </row>
    <row r="11" spans="1:12" x14ac:dyDescent="0.45">
      <c r="A11" s="14" t="s">
        <v>19</v>
      </c>
      <c r="B11" s="4" t="s">
        <v>47</v>
      </c>
      <c r="C11" s="4">
        <v>17</v>
      </c>
      <c r="D11" s="4">
        <v>6</v>
      </c>
      <c r="E11" s="4" t="s">
        <v>54</v>
      </c>
      <c r="F11" s="4">
        <v>67</v>
      </c>
      <c r="G11" s="4">
        <v>89</v>
      </c>
      <c r="H11" s="4">
        <v>89</v>
      </c>
      <c r="I11" s="15" t="s">
        <v>67</v>
      </c>
    </row>
    <row r="12" spans="1:12" x14ac:dyDescent="0.45">
      <c r="A12" s="14" t="s">
        <v>20</v>
      </c>
      <c r="B12" s="4" t="s">
        <v>47</v>
      </c>
      <c r="C12" s="4">
        <v>18</v>
      </c>
      <c r="D12" s="4">
        <v>7</v>
      </c>
      <c r="E12" s="4" t="s">
        <v>51</v>
      </c>
      <c r="F12" s="4">
        <v>76</v>
      </c>
      <c r="G12" s="4">
        <v>87</v>
      </c>
      <c r="H12" s="4">
        <v>98</v>
      </c>
      <c r="I12" s="15" t="s">
        <v>68</v>
      </c>
    </row>
    <row r="13" spans="1:12" x14ac:dyDescent="0.45">
      <c r="A13" s="14" t="s">
        <v>21</v>
      </c>
      <c r="B13" s="4" t="s">
        <v>47</v>
      </c>
      <c r="C13" s="4">
        <v>19</v>
      </c>
      <c r="D13" s="4">
        <v>8</v>
      </c>
      <c r="E13" s="4" t="s">
        <v>54</v>
      </c>
      <c r="F13" s="4">
        <v>78</v>
      </c>
      <c r="G13" s="4">
        <v>89</v>
      </c>
      <c r="H13" s="4">
        <v>68</v>
      </c>
      <c r="I13" s="15" t="s">
        <v>69</v>
      </c>
    </row>
    <row r="14" spans="1:12" hidden="1" x14ac:dyDescent="0.45">
      <c r="A14" s="14" t="s">
        <v>22</v>
      </c>
      <c r="B14" s="4" t="s">
        <v>48</v>
      </c>
      <c r="C14" s="4">
        <v>20</v>
      </c>
      <c r="D14" s="4">
        <v>9</v>
      </c>
      <c r="E14" s="4" t="s">
        <v>53</v>
      </c>
      <c r="F14" s="4">
        <v>87</v>
      </c>
      <c r="G14" s="4">
        <v>87</v>
      </c>
      <c r="H14" s="4">
        <v>78</v>
      </c>
      <c r="I14" s="15" t="s">
        <v>70</v>
      </c>
    </row>
    <row r="15" spans="1:12" hidden="1" x14ac:dyDescent="0.45">
      <c r="A15" s="14" t="s">
        <v>23</v>
      </c>
      <c r="B15" s="4" t="s">
        <v>48</v>
      </c>
      <c r="C15" s="4">
        <v>9</v>
      </c>
      <c r="D15" s="4">
        <v>5</v>
      </c>
      <c r="E15" s="4" t="s">
        <v>52</v>
      </c>
      <c r="F15" s="4">
        <v>78</v>
      </c>
      <c r="G15" s="4">
        <v>89</v>
      </c>
      <c r="H15" s="4">
        <v>87</v>
      </c>
      <c r="I15" s="15" t="s">
        <v>71</v>
      </c>
    </row>
    <row r="16" spans="1:12" hidden="1" x14ac:dyDescent="0.45">
      <c r="A16" s="14" t="s">
        <v>24</v>
      </c>
      <c r="B16" s="4" t="s">
        <v>48</v>
      </c>
      <c r="C16" s="4">
        <v>22</v>
      </c>
      <c r="D16" s="4">
        <v>9</v>
      </c>
      <c r="E16" s="4" t="s">
        <v>54</v>
      </c>
      <c r="F16" s="4">
        <v>87</v>
      </c>
      <c r="G16" s="4">
        <v>76</v>
      </c>
      <c r="H16" s="4">
        <v>67</v>
      </c>
      <c r="I16" s="15" t="s">
        <v>72</v>
      </c>
    </row>
    <row r="17" spans="1:16" hidden="1" x14ac:dyDescent="0.45">
      <c r="A17" s="14" t="s">
        <v>25</v>
      </c>
      <c r="B17" s="4" t="s">
        <v>48</v>
      </c>
      <c r="C17" s="4">
        <v>12</v>
      </c>
      <c r="D17" s="4">
        <v>8</v>
      </c>
      <c r="E17" s="4" t="s">
        <v>52</v>
      </c>
      <c r="F17" s="4">
        <v>78</v>
      </c>
      <c r="G17" s="4">
        <v>78</v>
      </c>
      <c r="H17" s="4">
        <v>76</v>
      </c>
      <c r="I17" s="15" t="s">
        <v>73</v>
      </c>
    </row>
    <row r="18" spans="1:16" x14ac:dyDescent="0.45">
      <c r="A18" s="14" t="s">
        <v>26</v>
      </c>
      <c r="B18" s="4" t="s">
        <v>47</v>
      </c>
      <c r="C18" s="4">
        <v>10</v>
      </c>
      <c r="D18" s="4">
        <v>8</v>
      </c>
      <c r="E18" s="4" t="s">
        <v>53</v>
      </c>
      <c r="F18" s="4">
        <v>98</v>
      </c>
      <c r="G18" s="4">
        <v>87</v>
      </c>
      <c r="H18" s="4">
        <v>78</v>
      </c>
      <c r="I18" s="15" t="s">
        <v>74</v>
      </c>
    </row>
    <row r="19" spans="1:16" x14ac:dyDescent="0.45">
      <c r="A19" s="14" t="s">
        <v>27</v>
      </c>
      <c r="B19" s="4" t="s">
        <v>47</v>
      </c>
      <c r="C19" s="4">
        <v>25</v>
      </c>
      <c r="D19" s="4">
        <v>9</v>
      </c>
      <c r="E19" s="4" t="s">
        <v>51</v>
      </c>
      <c r="F19" s="4">
        <v>89</v>
      </c>
      <c r="G19" s="4">
        <v>89</v>
      </c>
      <c r="H19" s="4">
        <v>87</v>
      </c>
      <c r="I19" s="15" t="s">
        <v>75</v>
      </c>
    </row>
    <row r="20" spans="1:16" x14ac:dyDescent="0.45">
      <c r="A20" s="14" t="s">
        <v>28</v>
      </c>
      <c r="B20" s="4" t="s">
        <v>47</v>
      </c>
      <c r="C20" s="4">
        <v>13</v>
      </c>
      <c r="D20" s="4">
        <v>7</v>
      </c>
      <c r="E20" s="4" t="s">
        <v>53</v>
      </c>
      <c r="F20" s="4">
        <v>78</v>
      </c>
      <c r="G20" s="4">
        <v>87</v>
      </c>
      <c r="H20" s="4">
        <v>78</v>
      </c>
      <c r="I20" s="15" t="s">
        <v>76</v>
      </c>
      <c r="L20" s="13"/>
    </row>
    <row r="21" spans="1:16" x14ac:dyDescent="0.45">
      <c r="A21" s="14" t="s">
        <v>29</v>
      </c>
      <c r="B21" s="4" t="s">
        <v>47</v>
      </c>
      <c r="C21" s="4">
        <v>27</v>
      </c>
      <c r="D21" s="4">
        <v>6</v>
      </c>
      <c r="E21" s="4" t="s">
        <v>54</v>
      </c>
      <c r="F21" s="4">
        <v>87</v>
      </c>
      <c r="G21" s="4">
        <v>78</v>
      </c>
      <c r="H21" s="4">
        <v>87</v>
      </c>
      <c r="I21" s="15" t="s">
        <v>77</v>
      </c>
    </row>
    <row r="22" spans="1:16" hidden="1" x14ac:dyDescent="0.45">
      <c r="A22" s="14" t="s">
        <v>30</v>
      </c>
      <c r="B22" s="4" t="s">
        <v>48</v>
      </c>
      <c r="C22" s="4">
        <v>15</v>
      </c>
      <c r="D22" s="4">
        <v>5</v>
      </c>
      <c r="E22" s="4" t="s">
        <v>53</v>
      </c>
      <c r="F22" s="4">
        <v>98</v>
      </c>
      <c r="G22" s="4">
        <v>76</v>
      </c>
      <c r="H22" s="4">
        <v>89</v>
      </c>
      <c r="I22" s="15" t="s">
        <v>78</v>
      </c>
    </row>
    <row r="23" spans="1:16" hidden="1" x14ac:dyDescent="0.45">
      <c r="A23" s="16" t="s">
        <v>31</v>
      </c>
      <c r="B23" s="17" t="s">
        <v>48</v>
      </c>
      <c r="C23" s="17">
        <v>29</v>
      </c>
      <c r="D23" s="17">
        <v>4</v>
      </c>
      <c r="E23" s="17" t="s">
        <v>52</v>
      </c>
      <c r="F23" s="17">
        <v>89</v>
      </c>
      <c r="G23" s="17">
        <v>78</v>
      </c>
      <c r="H23" s="17">
        <v>78</v>
      </c>
      <c r="I23" s="18" t="s">
        <v>79</v>
      </c>
    </row>
    <row r="25" spans="1:16" x14ac:dyDescent="0.45">
      <c r="P25" s="13"/>
    </row>
  </sheetData>
  <mergeCells count="2">
    <mergeCell ref="A1:J1"/>
    <mergeCell ref="J4:L4"/>
  </mergeCells>
  <hyperlinks>
    <hyperlink ref="A3" location="NAMES!A1" display="NAME" xr:uid="{032AB34C-E354-460C-B497-A734EABB2A79}"/>
  </hyperlinks>
  <pageMargins left="0.7" right="0.7" top="0.75" bottom="0.75" header="0.3" footer="0.3"/>
  <pageSetup orientation="portrait" r:id="rId1"/>
  <drawing r:id="rId2"/>
  <tableParts count="1">
    <tablePart r:id="rId3"/>
  </tableParts>
  <extLst>
    <ext xmlns:x15="http://schemas.microsoft.com/office/spreadsheetml/2010/11/main" uri="{3A4CF648-6AED-40f4-86FF-DC5316D8AED3}">
      <x14:slicerList xmlns:x14="http://schemas.microsoft.com/office/spreadsheetml/2009/9/main">
        <x14:slicer r:id="rId4"/>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A2B68F-FA97-44A0-ABD0-71BF55991627}">
  <dimension ref="A1:D22"/>
  <sheetViews>
    <sheetView showGridLines="0" workbookViewId="0">
      <selection activeCell="A11" sqref="A11"/>
    </sheetView>
  </sheetViews>
  <sheetFormatPr defaultRowHeight="14.25" x14ac:dyDescent="0.45"/>
  <cols>
    <col min="1" max="1" width="7.73046875" bestFit="1" customWidth="1"/>
    <col min="2" max="2" width="16.53125" bestFit="1" customWidth="1"/>
  </cols>
  <sheetData>
    <row r="1" spans="1:4" ht="30.75" x14ac:dyDescent="0.9">
      <c r="A1" s="60" t="s">
        <v>118</v>
      </c>
      <c r="B1" s="62"/>
      <c r="C1" s="51"/>
      <c r="D1" s="51"/>
    </row>
    <row r="2" spans="1:4" x14ac:dyDescent="0.45">
      <c r="A2" s="59" t="s">
        <v>119</v>
      </c>
      <c r="B2" s="61" t="s">
        <v>120</v>
      </c>
    </row>
    <row r="3" spans="1:4" x14ac:dyDescent="0.45">
      <c r="A3" s="57" t="str">
        <f>HYPERLINK("mailto:Pihu@gmail.com","PIHU")</f>
        <v>PIHU</v>
      </c>
      <c r="B3" s="56" t="s">
        <v>60</v>
      </c>
    </row>
    <row r="4" spans="1:4" x14ac:dyDescent="0.45">
      <c r="A4" s="57" t="str">
        <f>HYPERLINK("mailto:Arti@gmail.com","ARTI")</f>
        <v>ARTI</v>
      </c>
      <c r="B4" s="56" t="s">
        <v>61</v>
      </c>
    </row>
    <row r="5" spans="1:4" x14ac:dyDescent="0.45">
      <c r="A5" s="57" t="str">
        <f>HYPERLINK("mailto:Shivani@gmail.com","SHIVANI")</f>
        <v>SHIVANI</v>
      </c>
      <c r="B5" s="56" t="s">
        <v>62</v>
      </c>
    </row>
    <row r="6" spans="1:4" x14ac:dyDescent="0.45">
      <c r="A6" s="57" t="str">
        <f>HYPERLINK("mailto:Ankita@gmail.com","ANKITA")</f>
        <v>ANKITA</v>
      </c>
      <c r="B6" s="56" t="s">
        <v>63</v>
      </c>
    </row>
    <row r="7" spans="1:4" x14ac:dyDescent="0.45">
      <c r="A7" s="57" t="str">
        <f>HYPERLINK("mailto:Upasna@gmail.com","UPASNA")</f>
        <v>UPASNA</v>
      </c>
      <c r="B7" s="56" t="s">
        <v>64</v>
      </c>
    </row>
    <row r="8" spans="1:4" x14ac:dyDescent="0.45">
      <c r="A8" s="57" t="str">
        <f>HYPERLINK("mailto:Nitika@gmail.com","NITIKA")</f>
        <v>NITIKA</v>
      </c>
      <c r="B8" s="56" t="s">
        <v>65</v>
      </c>
    </row>
    <row r="9" spans="1:4" x14ac:dyDescent="0.45">
      <c r="A9" s="57" t="str">
        <f>HYPERLINK("mailto:Manish@gmail.com","MANISH")</f>
        <v>MANISH</v>
      </c>
      <c r="B9" s="56" t="s">
        <v>66</v>
      </c>
    </row>
    <row r="10" spans="1:4" x14ac:dyDescent="0.45">
      <c r="A10" s="57" t="str">
        <f>HYPERLINK("mailto:Vivek@gmail.com","VIVEK")</f>
        <v>VIVEK</v>
      </c>
      <c r="B10" s="56" t="s">
        <v>67</v>
      </c>
    </row>
    <row r="11" spans="1:4" x14ac:dyDescent="0.45">
      <c r="A11" s="57" t="str">
        <f>HYPERLINK("mailto:Sahil@gmail.com","SAHIL")</f>
        <v>SAHIL</v>
      </c>
      <c r="B11" s="56" t="s">
        <v>68</v>
      </c>
    </row>
    <row r="12" spans="1:4" x14ac:dyDescent="0.45">
      <c r="A12" s="57" t="str">
        <f>HYPERLINK("mailto:Ankit@gmail.com","ANKIT")</f>
        <v>ANKIT</v>
      </c>
      <c r="B12" s="56" t="s">
        <v>69</v>
      </c>
    </row>
    <row r="13" spans="1:4" x14ac:dyDescent="0.45">
      <c r="A13" s="57" t="str">
        <f>HYPERLINK("mailto:Parul@gmail.com","PARUL")</f>
        <v>PARUL</v>
      </c>
      <c r="B13" s="56" t="s">
        <v>70</v>
      </c>
    </row>
    <row r="14" spans="1:4" x14ac:dyDescent="0.45">
      <c r="A14" s="57" t="str">
        <f>HYPERLINK("mailto:Payal@gmail.com","PAYAL")</f>
        <v>PAYAL</v>
      </c>
      <c r="B14" s="56" t="s">
        <v>71</v>
      </c>
    </row>
    <row r="15" spans="1:4" x14ac:dyDescent="0.45">
      <c r="A15" s="57" t="str">
        <f>HYPERLINK("mailto:Neha@gmail.com","NEHA")</f>
        <v>NEHA</v>
      </c>
      <c r="B15" s="56" t="s">
        <v>72</v>
      </c>
    </row>
    <row r="16" spans="1:4" x14ac:dyDescent="0.45">
      <c r="A16" s="57" t="str">
        <f>HYPERLINK("mailto:Priya@gmail.com","PRIYA")</f>
        <v>PRIYA</v>
      </c>
      <c r="B16" s="56" t="s">
        <v>73</v>
      </c>
    </row>
    <row r="17" spans="1:2" x14ac:dyDescent="0.45">
      <c r="A17" s="57" t="str">
        <f>HYPERLINK("mailto:Sorav@gmail.com","SORAV")</f>
        <v>SORAV</v>
      </c>
      <c r="B17" s="56" t="s">
        <v>74</v>
      </c>
    </row>
    <row r="18" spans="1:2" x14ac:dyDescent="0.45">
      <c r="A18" s="57" t="str">
        <f>HYPERLINK("mailto:Rahul@gmail.com","RAHUL")</f>
        <v>RAHUL</v>
      </c>
      <c r="B18" s="56" t="s">
        <v>75</v>
      </c>
    </row>
    <row r="19" spans="1:2" x14ac:dyDescent="0.45">
      <c r="A19" s="57" t="str">
        <f>HYPERLINK("mailto:Sunny@gmail.com","SUNNY")</f>
        <v>SUNNY</v>
      </c>
      <c r="B19" s="56" t="s">
        <v>76</v>
      </c>
    </row>
    <row r="20" spans="1:2" x14ac:dyDescent="0.45">
      <c r="A20" s="57" t="str">
        <f>HYPERLINK("mailto:Ashu@gmail.com","ASHU")</f>
        <v>ASHU</v>
      </c>
      <c r="B20" s="56" t="s">
        <v>77</v>
      </c>
    </row>
    <row r="21" spans="1:2" x14ac:dyDescent="0.45">
      <c r="A21" s="57" t="str">
        <f>HYPERLINK("mailto:Ritika@gmail.com","RITIKA")</f>
        <v>RITIKA</v>
      </c>
      <c r="B21" s="56" t="s">
        <v>78</v>
      </c>
    </row>
    <row r="22" spans="1:2" x14ac:dyDescent="0.45">
      <c r="A22" s="58" t="str">
        <f>HYPERLINK("mailto:Sonia@gmail.com","SONIA")</f>
        <v>SONIA</v>
      </c>
      <c r="B22" s="56" t="s">
        <v>79</v>
      </c>
    </row>
  </sheetData>
  <mergeCells count="1">
    <mergeCell ref="A1:D1"/>
  </mergeCells>
  <hyperlinks>
    <hyperlink ref="A2" location="Sheet3!A1" display="NAME" xr:uid="{E0F19644-4FB5-4A12-8FB7-B5EE6FAFD01B}"/>
  </hyperlinks>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AD6923-5BCB-4598-B4F4-64E967008231}">
  <dimension ref="A1:G9"/>
  <sheetViews>
    <sheetView workbookViewId="0">
      <selection activeCell="G4" sqref="G4"/>
    </sheetView>
  </sheetViews>
  <sheetFormatPr defaultRowHeight="14.25" x14ac:dyDescent="0.45"/>
  <cols>
    <col min="2" max="2" width="10.46484375" style="2" customWidth="1"/>
    <col min="6" max="6" width="9.06640625" style="2"/>
  </cols>
  <sheetData>
    <row r="1" spans="1:7" x14ac:dyDescent="0.45">
      <c r="A1" s="52" t="s">
        <v>80</v>
      </c>
      <c r="B1" s="52"/>
      <c r="C1" s="52"/>
      <c r="D1" s="52"/>
    </row>
    <row r="3" spans="1:7" x14ac:dyDescent="0.45">
      <c r="B3" s="2" t="s">
        <v>86</v>
      </c>
      <c r="F3" s="22" t="s">
        <v>1</v>
      </c>
      <c r="G3" s="23" t="s">
        <v>81</v>
      </c>
    </row>
    <row r="4" spans="1:7" x14ac:dyDescent="0.45">
      <c r="B4" s="2" t="s">
        <v>81</v>
      </c>
      <c r="F4" s="4" t="s">
        <v>12</v>
      </c>
      <c r="G4" s="5" t="s">
        <v>83</v>
      </c>
    </row>
    <row r="5" spans="1:7" x14ac:dyDescent="0.45">
      <c r="B5" s="2" t="s">
        <v>82</v>
      </c>
      <c r="F5" s="4" t="s">
        <v>13</v>
      </c>
      <c r="G5" s="5" t="s">
        <v>84</v>
      </c>
    </row>
    <row r="6" spans="1:7" x14ac:dyDescent="0.45">
      <c r="B6" s="2" t="s">
        <v>83</v>
      </c>
      <c r="F6" s="4" t="s">
        <v>14</v>
      </c>
      <c r="G6" s="5" t="s">
        <v>82</v>
      </c>
    </row>
    <row r="7" spans="1:7" x14ac:dyDescent="0.45">
      <c r="B7" s="2" t="s">
        <v>84</v>
      </c>
      <c r="F7" s="4" t="s">
        <v>85</v>
      </c>
      <c r="G7" s="5" t="s">
        <v>83</v>
      </c>
    </row>
    <row r="8" spans="1:7" x14ac:dyDescent="0.45">
      <c r="F8" s="4" t="s">
        <v>30</v>
      </c>
      <c r="G8" s="5" t="s">
        <v>82</v>
      </c>
    </row>
    <row r="9" spans="1:7" x14ac:dyDescent="0.45">
      <c r="F9" s="4" t="s">
        <v>14</v>
      </c>
      <c r="G9" s="5" t="s">
        <v>82</v>
      </c>
    </row>
  </sheetData>
  <mergeCells count="1">
    <mergeCell ref="A1:D1"/>
  </mergeCells>
  <dataValidations count="1">
    <dataValidation type="list" allowBlank="1" showInputMessage="1" showErrorMessage="1" sqref="G4:G9" xr:uid="{E3DA4F9A-1A49-4703-A781-BCAC066C0CA5}">
      <formula1>$B$5:$B$7</formula1>
    </dataValidation>
  </dataValidations>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15AD73-FCC4-41A3-A289-6F2E73E44327}">
  <dimension ref="A1:B21"/>
  <sheetViews>
    <sheetView workbookViewId="0">
      <selection activeCell="A2" sqref="A2"/>
    </sheetView>
  </sheetViews>
  <sheetFormatPr defaultRowHeight="14.25" x14ac:dyDescent="0.45"/>
  <cols>
    <col min="2" max="2" width="11.1328125" bestFit="1" customWidth="1"/>
  </cols>
  <sheetData>
    <row r="1" spans="1:2" ht="15.75" x14ac:dyDescent="0.5">
      <c r="A1" s="24" t="s">
        <v>1</v>
      </c>
      <c r="B1" s="26" t="s">
        <v>57</v>
      </c>
    </row>
    <row r="2" spans="1:2" x14ac:dyDescent="0.45">
      <c r="A2" s="25" t="s">
        <v>12</v>
      </c>
      <c r="B2" s="25">
        <v>99</v>
      </c>
    </row>
    <row r="3" spans="1:2" x14ac:dyDescent="0.45">
      <c r="A3" s="4" t="s">
        <v>13</v>
      </c>
      <c r="B3" s="4">
        <v>78</v>
      </c>
    </row>
    <row r="4" spans="1:2" x14ac:dyDescent="0.45">
      <c r="A4" s="25" t="s">
        <v>14</v>
      </c>
      <c r="B4" s="25">
        <v>89</v>
      </c>
    </row>
    <row r="5" spans="1:2" x14ac:dyDescent="0.45">
      <c r="A5" s="4" t="s">
        <v>15</v>
      </c>
      <c r="B5" s="4">
        <v>98</v>
      </c>
    </row>
    <row r="6" spans="1:2" x14ac:dyDescent="0.45">
      <c r="A6" s="25" t="s">
        <v>16</v>
      </c>
      <c r="B6" s="25">
        <v>78</v>
      </c>
    </row>
    <row r="7" spans="1:2" x14ac:dyDescent="0.45">
      <c r="A7" s="4" t="s">
        <v>17</v>
      </c>
      <c r="B7" s="4">
        <v>89</v>
      </c>
    </row>
    <row r="8" spans="1:2" x14ac:dyDescent="0.45">
      <c r="A8" s="25" t="s">
        <v>18</v>
      </c>
      <c r="B8" s="25">
        <v>87</v>
      </c>
    </row>
    <row r="9" spans="1:2" x14ac:dyDescent="0.45">
      <c r="A9" s="4" t="s">
        <v>19</v>
      </c>
      <c r="B9" s="4">
        <v>89</v>
      </c>
    </row>
    <row r="10" spans="1:2" x14ac:dyDescent="0.45">
      <c r="A10" s="25" t="s">
        <v>20</v>
      </c>
      <c r="B10" s="25">
        <v>98</v>
      </c>
    </row>
    <row r="11" spans="1:2" x14ac:dyDescent="0.45">
      <c r="A11" s="4" t="s">
        <v>21</v>
      </c>
      <c r="B11" s="4">
        <v>68</v>
      </c>
    </row>
    <row r="12" spans="1:2" x14ac:dyDescent="0.45">
      <c r="A12" s="25" t="s">
        <v>22</v>
      </c>
      <c r="B12" s="25">
        <v>78</v>
      </c>
    </row>
    <row r="13" spans="1:2" x14ac:dyDescent="0.45">
      <c r="A13" s="4" t="s">
        <v>23</v>
      </c>
      <c r="B13" s="4">
        <v>87</v>
      </c>
    </row>
    <row r="14" spans="1:2" x14ac:dyDescent="0.45">
      <c r="A14" s="25" t="s">
        <v>24</v>
      </c>
      <c r="B14" s="25">
        <v>67</v>
      </c>
    </row>
    <row r="15" spans="1:2" x14ac:dyDescent="0.45">
      <c r="A15" s="4" t="s">
        <v>25</v>
      </c>
      <c r="B15" s="4">
        <v>76</v>
      </c>
    </row>
    <row r="16" spans="1:2" x14ac:dyDescent="0.45">
      <c r="A16" s="25" t="s">
        <v>26</v>
      </c>
      <c r="B16" s="25">
        <v>78</v>
      </c>
    </row>
    <row r="17" spans="1:2" x14ac:dyDescent="0.45">
      <c r="A17" s="4" t="s">
        <v>27</v>
      </c>
      <c r="B17" s="4">
        <v>87</v>
      </c>
    </row>
    <row r="18" spans="1:2" x14ac:dyDescent="0.45">
      <c r="A18" s="25" t="s">
        <v>28</v>
      </c>
      <c r="B18" s="25">
        <v>78</v>
      </c>
    </row>
    <row r="19" spans="1:2" x14ac:dyDescent="0.45">
      <c r="A19" s="4" t="s">
        <v>29</v>
      </c>
      <c r="B19" s="4">
        <v>87</v>
      </c>
    </row>
    <row r="20" spans="1:2" x14ac:dyDescent="0.45">
      <c r="A20" s="25" t="s">
        <v>30</v>
      </c>
      <c r="B20" s="25">
        <v>89</v>
      </c>
    </row>
    <row r="21" spans="1:2" x14ac:dyDescent="0.45">
      <c r="A21" s="4" t="s">
        <v>31</v>
      </c>
      <c r="B21" s="4">
        <v>78</v>
      </c>
    </row>
  </sheetData>
  <hyperlinks>
    <hyperlink ref="A1" location="NAMES!A1" display="NAME" xr:uid="{62D4ED94-10AF-4238-BB43-C44D3CAD3802}"/>
  </hyperlink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14A165-9B93-491D-94DE-D140917ACE2B}">
  <dimension ref="A1:N26"/>
  <sheetViews>
    <sheetView zoomScaleNormal="100" workbookViewId="0">
      <selection activeCell="N9" sqref="N9"/>
    </sheetView>
  </sheetViews>
  <sheetFormatPr defaultRowHeight="14.25" x14ac:dyDescent="0.45"/>
  <cols>
    <col min="6" max="7" width="11" bestFit="1" customWidth="1"/>
    <col min="8" max="8" width="10.1328125" bestFit="1" customWidth="1"/>
    <col min="14" max="14" width="10.33203125" bestFit="1" customWidth="1"/>
  </cols>
  <sheetData>
    <row r="1" spans="1:14" x14ac:dyDescent="0.45">
      <c r="A1" s="53" t="s">
        <v>89</v>
      </c>
      <c r="B1" s="53"/>
      <c r="C1" s="53"/>
      <c r="D1" s="53"/>
      <c r="E1" s="53"/>
      <c r="F1" s="53"/>
      <c r="G1" s="53"/>
      <c r="H1" s="53"/>
    </row>
    <row r="2" spans="1:14" x14ac:dyDescent="0.45">
      <c r="A2" s="53"/>
      <c r="B2" s="53"/>
      <c r="C2" s="53"/>
      <c r="D2" s="53"/>
      <c r="E2" s="53"/>
      <c r="F2" s="53"/>
      <c r="G2" s="53"/>
      <c r="H2" s="53"/>
    </row>
    <row r="3" spans="1:14" x14ac:dyDescent="0.45">
      <c r="A3" s="53"/>
      <c r="B3" s="53"/>
      <c r="C3" s="53"/>
      <c r="D3" s="53"/>
      <c r="E3" s="53"/>
      <c r="F3" s="53"/>
      <c r="G3" s="53"/>
      <c r="H3" s="53"/>
    </row>
    <row r="4" spans="1:14" x14ac:dyDescent="0.45">
      <c r="A4" s="27" t="s">
        <v>1</v>
      </c>
      <c r="B4" s="27" t="s">
        <v>88</v>
      </c>
      <c r="C4" s="27" t="s">
        <v>2</v>
      </c>
      <c r="D4" s="27" t="s">
        <v>49</v>
      </c>
      <c r="E4" s="27" t="s">
        <v>50</v>
      </c>
      <c r="F4" s="27" t="s">
        <v>55</v>
      </c>
      <c r="G4" s="27" t="s">
        <v>56</v>
      </c>
      <c r="H4" s="27" t="s">
        <v>57</v>
      </c>
    </row>
    <row r="5" spans="1:14" x14ac:dyDescent="0.45">
      <c r="A5" s="25" t="s">
        <v>12</v>
      </c>
      <c r="B5" s="25" t="s">
        <v>48</v>
      </c>
      <c r="C5" s="25">
        <v>10</v>
      </c>
      <c r="D5" s="25">
        <v>7</v>
      </c>
      <c r="E5" s="25" t="s">
        <v>51</v>
      </c>
      <c r="F5" s="25">
        <v>84</v>
      </c>
      <c r="G5" s="25">
        <v>78</v>
      </c>
      <c r="H5" s="25">
        <v>99</v>
      </c>
    </row>
    <row r="6" spans="1:14" x14ac:dyDescent="0.45">
      <c r="A6" s="4" t="s">
        <v>13</v>
      </c>
      <c r="B6" s="4" t="s">
        <v>48</v>
      </c>
      <c r="C6" s="4">
        <v>11</v>
      </c>
      <c r="D6" s="4">
        <v>8</v>
      </c>
      <c r="E6" s="4" t="s">
        <v>52</v>
      </c>
      <c r="F6" s="4">
        <v>78</v>
      </c>
      <c r="G6" s="4">
        <v>87</v>
      </c>
      <c r="H6" s="4">
        <v>78</v>
      </c>
      <c r="M6" s="28" t="s">
        <v>1</v>
      </c>
      <c r="N6" s="28" t="s">
        <v>57</v>
      </c>
    </row>
    <row r="7" spans="1:14" x14ac:dyDescent="0.45">
      <c r="A7" s="25" t="s">
        <v>14</v>
      </c>
      <c r="B7" s="25" t="s">
        <v>48</v>
      </c>
      <c r="C7" s="25">
        <v>12</v>
      </c>
      <c r="D7" s="25">
        <v>8</v>
      </c>
      <c r="E7" s="25" t="s">
        <v>53</v>
      </c>
      <c r="F7" s="25">
        <v>67</v>
      </c>
      <c r="G7" s="25">
        <v>67</v>
      </c>
      <c r="H7" s="25">
        <v>89</v>
      </c>
      <c r="M7" s="25" t="s">
        <v>12</v>
      </c>
      <c r="N7" s="5">
        <f>VLOOKUP(M7,$A$4:$H$24,8,0)</f>
        <v>99</v>
      </c>
    </row>
    <row r="8" spans="1:14" x14ac:dyDescent="0.45">
      <c r="A8" s="4" t="s">
        <v>15</v>
      </c>
      <c r="B8" s="4" t="s">
        <v>48</v>
      </c>
      <c r="C8" s="4">
        <v>13</v>
      </c>
      <c r="D8" s="4">
        <v>4</v>
      </c>
      <c r="E8" s="4" t="s">
        <v>54</v>
      </c>
      <c r="F8" s="4">
        <v>65</v>
      </c>
      <c r="G8" s="4">
        <v>76</v>
      </c>
      <c r="H8" s="4">
        <v>98</v>
      </c>
      <c r="M8" s="4" t="s">
        <v>13</v>
      </c>
      <c r="N8" s="5">
        <f>VLOOKUP(M8,$A$4:$H$24,8,0)</f>
        <v>78</v>
      </c>
    </row>
    <row r="9" spans="1:14" x14ac:dyDescent="0.45">
      <c r="A9" s="25" t="s">
        <v>16</v>
      </c>
      <c r="B9" s="25" t="s">
        <v>48</v>
      </c>
      <c r="C9" s="25">
        <v>14</v>
      </c>
      <c r="D9" s="25">
        <v>5</v>
      </c>
      <c r="E9" s="25" t="s">
        <v>52</v>
      </c>
      <c r="F9" s="25">
        <v>99</v>
      </c>
      <c r="G9" s="25">
        <v>78</v>
      </c>
      <c r="H9" s="25">
        <v>78</v>
      </c>
      <c r="M9" s="25" t="s">
        <v>14</v>
      </c>
      <c r="N9" s="5">
        <f>VLOOKUP(M9,$A$4:$H$24,8,0)</f>
        <v>89</v>
      </c>
    </row>
    <row r="10" spans="1:14" x14ac:dyDescent="0.45">
      <c r="A10" s="4" t="s">
        <v>17</v>
      </c>
      <c r="B10" s="4" t="s">
        <v>48</v>
      </c>
      <c r="C10" s="4">
        <v>8</v>
      </c>
      <c r="D10" s="4">
        <v>6</v>
      </c>
      <c r="E10" s="4" t="s">
        <v>51</v>
      </c>
      <c r="F10" s="4">
        <v>87</v>
      </c>
      <c r="G10" s="4">
        <v>89</v>
      </c>
      <c r="H10" s="4">
        <v>89</v>
      </c>
      <c r="M10" s="4" t="s">
        <v>15</v>
      </c>
      <c r="N10" s="5">
        <f>VLOOKUP(M10,$A$4:$H$24,8,0)</f>
        <v>98</v>
      </c>
    </row>
    <row r="11" spans="1:14" x14ac:dyDescent="0.45">
      <c r="A11" s="25" t="s">
        <v>18</v>
      </c>
      <c r="B11" s="25" t="s">
        <v>47</v>
      </c>
      <c r="C11" s="25">
        <v>16</v>
      </c>
      <c r="D11" s="25">
        <v>5</v>
      </c>
      <c r="E11" s="25" t="s">
        <v>53</v>
      </c>
      <c r="F11" s="25">
        <v>78</v>
      </c>
      <c r="G11" s="25">
        <v>98</v>
      </c>
      <c r="H11" s="25">
        <v>87</v>
      </c>
      <c r="M11" s="25" t="s">
        <v>16</v>
      </c>
      <c r="N11" s="5">
        <f>VLOOKUP(M11,$A$4:$H$24,8,0)</f>
        <v>78</v>
      </c>
    </row>
    <row r="12" spans="1:14" x14ac:dyDescent="0.45">
      <c r="A12" s="4" t="s">
        <v>19</v>
      </c>
      <c r="B12" s="4" t="s">
        <v>47</v>
      </c>
      <c r="C12" s="4">
        <v>17</v>
      </c>
      <c r="D12" s="4">
        <v>6</v>
      </c>
      <c r="E12" s="4" t="s">
        <v>54</v>
      </c>
      <c r="F12" s="4">
        <v>67</v>
      </c>
      <c r="G12" s="4">
        <v>89</v>
      </c>
      <c r="H12" s="4">
        <v>89</v>
      </c>
      <c r="M12" s="4" t="s">
        <v>17</v>
      </c>
      <c r="N12" s="5">
        <f>VLOOKUP(M12,$A$4:$H$24,8,0)</f>
        <v>89</v>
      </c>
    </row>
    <row r="13" spans="1:14" x14ac:dyDescent="0.45">
      <c r="A13" s="25" t="s">
        <v>20</v>
      </c>
      <c r="B13" s="25" t="s">
        <v>47</v>
      </c>
      <c r="C13" s="25">
        <v>18</v>
      </c>
      <c r="D13" s="25">
        <v>7</v>
      </c>
      <c r="E13" s="25" t="s">
        <v>51</v>
      </c>
      <c r="F13" s="25">
        <v>76</v>
      </c>
      <c r="G13" s="25">
        <v>87</v>
      </c>
      <c r="H13" s="25">
        <v>98</v>
      </c>
      <c r="M13" s="25" t="s">
        <v>18</v>
      </c>
      <c r="N13" s="5">
        <f>VLOOKUP(M13,$A$4:$H$24,8,0)</f>
        <v>87</v>
      </c>
    </row>
    <row r="14" spans="1:14" x14ac:dyDescent="0.45">
      <c r="A14" s="4" t="s">
        <v>21</v>
      </c>
      <c r="B14" s="4" t="s">
        <v>47</v>
      </c>
      <c r="C14" s="4">
        <v>19</v>
      </c>
      <c r="D14" s="4">
        <v>8</v>
      </c>
      <c r="E14" s="4" t="s">
        <v>54</v>
      </c>
      <c r="F14" s="4">
        <v>78</v>
      </c>
      <c r="G14" s="4">
        <v>89</v>
      </c>
      <c r="H14" s="4">
        <v>68</v>
      </c>
      <c r="M14" s="4" t="s">
        <v>19</v>
      </c>
      <c r="N14" s="5">
        <f>VLOOKUP(M14,$A$4:$H$24,8,0)</f>
        <v>89</v>
      </c>
    </row>
    <row r="15" spans="1:14" x14ac:dyDescent="0.45">
      <c r="A15" s="25" t="s">
        <v>22</v>
      </c>
      <c r="B15" s="25" t="s">
        <v>48</v>
      </c>
      <c r="C15" s="25">
        <v>20</v>
      </c>
      <c r="D15" s="25">
        <v>9</v>
      </c>
      <c r="E15" s="25" t="s">
        <v>53</v>
      </c>
      <c r="F15" s="25">
        <v>87</v>
      </c>
      <c r="G15" s="25">
        <v>87</v>
      </c>
      <c r="H15" s="25">
        <v>78</v>
      </c>
      <c r="M15" s="25" t="s">
        <v>20</v>
      </c>
      <c r="N15" s="5">
        <f>VLOOKUP(M15,$A$4:$H$24,8,0)</f>
        <v>98</v>
      </c>
    </row>
    <row r="16" spans="1:14" x14ac:dyDescent="0.45">
      <c r="A16" s="4" t="s">
        <v>23</v>
      </c>
      <c r="B16" s="4" t="s">
        <v>48</v>
      </c>
      <c r="C16" s="4">
        <v>9</v>
      </c>
      <c r="D16" s="4">
        <v>5</v>
      </c>
      <c r="E16" s="4" t="s">
        <v>52</v>
      </c>
      <c r="F16" s="4">
        <v>78</v>
      </c>
      <c r="G16" s="4">
        <v>89</v>
      </c>
      <c r="H16" s="4">
        <v>87</v>
      </c>
      <c r="M16" s="4" t="s">
        <v>21</v>
      </c>
      <c r="N16" s="5">
        <f>VLOOKUP(M16,$A$4:$H$24,8,0)</f>
        <v>68</v>
      </c>
    </row>
    <row r="17" spans="1:14" x14ac:dyDescent="0.45">
      <c r="A17" s="25" t="s">
        <v>24</v>
      </c>
      <c r="B17" s="25" t="s">
        <v>48</v>
      </c>
      <c r="C17" s="25">
        <v>22</v>
      </c>
      <c r="D17" s="25">
        <v>9</v>
      </c>
      <c r="E17" s="25" t="s">
        <v>54</v>
      </c>
      <c r="F17" s="25">
        <v>87</v>
      </c>
      <c r="G17" s="25">
        <v>76</v>
      </c>
      <c r="H17" s="25">
        <v>67</v>
      </c>
      <c r="M17" s="25" t="s">
        <v>22</v>
      </c>
      <c r="N17" s="5">
        <f>VLOOKUP(M17,$A$4:$H$24,8,0)</f>
        <v>78</v>
      </c>
    </row>
    <row r="18" spans="1:14" x14ac:dyDescent="0.45">
      <c r="A18" s="4" t="s">
        <v>25</v>
      </c>
      <c r="B18" s="4" t="s">
        <v>48</v>
      </c>
      <c r="C18" s="4">
        <v>12</v>
      </c>
      <c r="D18" s="4">
        <v>8</v>
      </c>
      <c r="E18" s="4" t="s">
        <v>52</v>
      </c>
      <c r="F18" s="4">
        <v>78</v>
      </c>
      <c r="G18" s="4">
        <v>78</v>
      </c>
      <c r="H18" s="4">
        <v>76</v>
      </c>
      <c r="M18" s="4" t="s">
        <v>23</v>
      </c>
      <c r="N18" s="5">
        <f>VLOOKUP(M18,$A$4:$H$24,8,0)</f>
        <v>87</v>
      </c>
    </row>
    <row r="19" spans="1:14" x14ac:dyDescent="0.45">
      <c r="A19" s="25" t="s">
        <v>26</v>
      </c>
      <c r="B19" s="25" t="s">
        <v>47</v>
      </c>
      <c r="C19" s="25">
        <v>10</v>
      </c>
      <c r="D19" s="25">
        <v>8</v>
      </c>
      <c r="E19" s="25" t="s">
        <v>53</v>
      </c>
      <c r="F19" s="25">
        <v>98</v>
      </c>
      <c r="G19" s="25">
        <v>87</v>
      </c>
      <c r="H19" s="25">
        <v>78</v>
      </c>
      <c r="M19" s="25" t="s">
        <v>24</v>
      </c>
      <c r="N19" s="5">
        <f>VLOOKUP(M19,$A$4:$H$24,8,0)</f>
        <v>67</v>
      </c>
    </row>
    <row r="20" spans="1:14" x14ac:dyDescent="0.45">
      <c r="A20" s="4" t="s">
        <v>27</v>
      </c>
      <c r="B20" s="4" t="s">
        <v>47</v>
      </c>
      <c r="C20" s="4">
        <v>25</v>
      </c>
      <c r="D20" s="4">
        <v>9</v>
      </c>
      <c r="E20" s="4" t="s">
        <v>51</v>
      </c>
      <c r="F20" s="4">
        <v>89</v>
      </c>
      <c r="G20" s="4">
        <v>89</v>
      </c>
      <c r="H20" s="4">
        <v>87</v>
      </c>
      <c r="M20" s="4" t="s">
        <v>25</v>
      </c>
      <c r="N20" s="5">
        <f>VLOOKUP(M20,$A$4:$H$24,8,0)</f>
        <v>76</v>
      </c>
    </row>
    <row r="21" spans="1:14" x14ac:dyDescent="0.45">
      <c r="A21" s="25" t="s">
        <v>28</v>
      </c>
      <c r="B21" s="25" t="s">
        <v>47</v>
      </c>
      <c r="C21" s="25">
        <v>13</v>
      </c>
      <c r="D21" s="25">
        <v>7</v>
      </c>
      <c r="E21" s="25" t="s">
        <v>53</v>
      </c>
      <c r="F21" s="25">
        <v>78</v>
      </c>
      <c r="G21" s="25">
        <v>87</v>
      </c>
      <c r="H21" s="25">
        <v>78</v>
      </c>
      <c r="M21" s="25" t="s">
        <v>26</v>
      </c>
      <c r="N21" s="5">
        <f>VLOOKUP(M21,$A$4:$H$24,8,0)</f>
        <v>78</v>
      </c>
    </row>
    <row r="22" spans="1:14" x14ac:dyDescent="0.45">
      <c r="A22" s="4" t="s">
        <v>29</v>
      </c>
      <c r="B22" s="4" t="s">
        <v>47</v>
      </c>
      <c r="C22" s="4">
        <v>27</v>
      </c>
      <c r="D22" s="4">
        <v>6</v>
      </c>
      <c r="E22" s="4" t="s">
        <v>54</v>
      </c>
      <c r="F22" s="4">
        <v>87</v>
      </c>
      <c r="G22" s="4">
        <v>78</v>
      </c>
      <c r="H22" s="4">
        <v>87</v>
      </c>
      <c r="M22" s="4" t="s">
        <v>27</v>
      </c>
      <c r="N22" s="5">
        <f>VLOOKUP(M22,$A$4:$H$24,8,0)</f>
        <v>87</v>
      </c>
    </row>
    <row r="23" spans="1:14" x14ac:dyDescent="0.45">
      <c r="A23" s="25" t="s">
        <v>30</v>
      </c>
      <c r="B23" s="25" t="s">
        <v>48</v>
      </c>
      <c r="C23" s="25">
        <v>15</v>
      </c>
      <c r="D23" s="25">
        <v>5</v>
      </c>
      <c r="E23" s="25" t="s">
        <v>53</v>
      </c>
      <c r="F23" s="25">
        <v>98</v>
      </c>
      <c r="G23" s="25">
        <v>76</v>
      </c>
      <c r="H23" s="25">
        <v>89</v>
      </c>
      <c r="M23" s="25" t="s">
        <v>28</v>
      </c>
      <c r="N23" s="5">
        <f>VLOOKUP(M23,$A$4:$H$24,8,0)</f>
        <v>78</v>
      </c>
    </row>
    <row r="24" spans="1:14" x14ac:dyDescent="0.45">
      <c r="A24" s="4" t="s">
        <v>31</v>
      </c>
      <c r="B24" s="4" t="s">
        <v>48</v>
      </c>
      <c r="C24" s="4">
        <v>29</v>
      </c>
      <c r="D24" s="4">
        <v>4</v>
      </c>
      <c r="E24" s="4" t="s">
        <v>52</v>
      </c>
      <c r="F24" s="4">
        <v>89</v>
      </c>
      <c r="G24" s="4">
        <v>78</v>
      </c>
      <c r="H24" s="4">
        <v>78</v>
      </c>
      <c r="M24" s="4" t="s">
        <v>29</v>
      </c>
      <c r="N24" s="5">
        <f>VLOOKUP(M24,$A$4:$H$24,8,0)</f>
        <v>87</v>
      </c>
    </row>
    <row r="25" spans="1:14" x14ac:dyDescent="0.45">
      <c r="M25" s="25" t="s">
        <v>30</v>
      </c>
      <c r="N25" s="5">
        <f>VLOOKUP(M25,$A$4:$H$24,8,0)</f>
        <v>89</v>
      </c>
    </row>
    <row r="26" spans="1:14" x14ac:dyDescent="0.45">
      <c r="M26" s="4" t="s">
        <v>31</v>
      </c>
      <c r="N26" s="5">
        <f>VLOOKUP(M26,$A$4:$H$24,8,0)</f>
        <v>78</v>
      </c>
    </row>
  </sheetData>
  <mergeCells count="1">
    <mergeCell ref="A1:H3"/>
  </mergeCells>
  <conditionalFormatting sqref="A5:A24">
    <cfRule type="duplicateValues" dxfId="7" priority="1"/>
  </conditionalFormatting>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739155-DE35-4D82-92C6-0BBE4430134A}">
  <dimension ref="A1:H24"/>
  <sheetViews>
    <sheetView workbookViewId="0">
      <selection activeCell="A5" sqref="A5"/>
    </sheetView>
  </sheetViews>
  <sheetFormatPr defaultRowHeight="14.25" x14ac:dyDescent="0.45"/>
  <cols>
    <col min="2" max="2" width="7.86328125" bestFit="1" customWidth="1"/>
    <col min="3" max="3" width="4.46484375" bestFit="1" customWidth="1"/>
    <col min="4" max="4" width="6.19921875" bestFit="1" customWidth="1"/>
    <col min="5" max="5" width="8.19921875" bestFit="1" customWidth="1"/>
    <col min="6" max="7" width="11.1328125" bestFit="1" customWidth="1"/>
    <col min="8" max="8" width="10.33203125" bestFit="1" customWidth="1"/>
  </cols>
  <sheetData>
    <row r="1" spans="1:8" x14ac:dyDescent="0.45">
      <c r="A1" s="54" t="s">
        <v>90</v>
      </c>
      <c r="B1" s="54"/>
      <c r="C1" s="54"/>
      <c r="D1" s="54"/>
      <c r="E1" s="54"/>
      <c r="F1" s="54"/>
      <c r="G1" s="54"/>
      <c r="H1" s="54"/>
    </row>
    <row r="2" spans="1:8" x14ac:dyDescent="0.45">
      <c r="A2" s="54"/>
      <c r="B2" s="54"/>
      <c r="C2" s="54"/>
      <c r="D2" s="54"/>
      <c r="E2" s="54"/>
      <c r="F2" s="54"/>
      <c r="G2" s="54"/>
      <c r="H2" s="54"/>
    </row>
    <row r="3" spans="1:8" x14ac:dyDescent="0.45">
      <c r="A3" s="54"/>
      <c r="B3" s="54"/>
      <c r="C3" s="54"/>
      <c r="D3" s="54"/>
      <c r="E3" s="54"/>
      <c r="F3" s="54"/>
      <c r="G3" s="54"/>
      <c r="H3" s="54"/>
    </row>
    <row r="4" spans="1:8" x14ac:dyDescent="0.45">
      <c r="A4" s="27" t="s">
        <v>1</v>
      </c>
      <c r="B4" s="27" t="s">
        <v>88</v>
      </c>
      <c r="C4" s="27" t="s">
        <v>2</v>
      </c>
      <c r="D4" s="27" t="s">
        <v>49</v>
      </c>
      <c r="E4" s="27" t="s">
        <v>50</v>
      </c>
      <c r="F4" s="27" t="s">
        <v>55</v>
      </c>
      <c r="G4" s="27" t="s">
        <v>56</v>
      </c>
      <c r="H4" s="27" t="s">
        <v>57</v>
      </c>
    </row>
    <row r="5" spans="1:8" x14ac:dyDescent="0.45">
      <c r="A5" s="25" t="s">
        <v>12</v>
      </c>
      <c r="B5" s="25" t="s">
        <v>48</v>
      </c>
      <c r="C5" s="25">
        <v>10</v>
      </c>
      <c r="D5" s="25">
        <v>7</v>
      </c>
      <c r="E5" s="25" t="s">
        <v>51</v>
      </c>
      <c r="F5" s="25">
        <v>84</v>
      </c>
      <c r="G5" s="25">
        <v>78</v>
      </c>
      <c r="H5" s="25">
        <v>99</v>
      </c>
    </row>
    <row r="6" spans="1:8" x14ac:dyDescent="0.45">
      <c r="A6" s="4" t="s">
        <v>13</v>
      </c>
      <c r="B6" s="4" t="s">
        <v>48</v>
      </c>
      <c r="C6" s="4">
        <v>11</v>
      </c>
      <c r="D6" s="4">
        <v>8</v>
      </c>
      <c r="E6" s="4" t="s">
        <v>52</v>
      </c>
      <c r="F6" s="4">
        <v>78</v>
      </c>
      <c r="G6" s="4">
        <v>87</v>
      </c>
      <c r="H6" s="4">
        <v>78</v>
      </c>
    </row>
    <row r="7" spans="1:8" x14ac:dyDescent="0.45">
      <c r="A7" s="25" t="s">
        <v>14</v>
      </c>
      <c r="B7" s="25" t="s">
        <v>48</v>
      </c>
      <c r="C7" s="25">
        <v>12</v>
      </c>
      <c r="D7" s="25">
        <v>8</v>
      </c>
      <c r="E7" s="25" t="s">
        <v>53</v>
      </c>
      <c r="F7" s="25">
        <v>67</v>
      </c>
      <c r="G7" s="25">
        <v>67</v>
      </c>
      <c r="H7" s="25">
        <v>89</v>
      </c>
    </row>
    <row r="8" spans="1:8" x14ac:dyDescent="0.45">
      <c r="A8" s="4" t="s">
        <v>15</v>
      </c>
      <c r="B8" s="4" t="s">
        <v>48</v>
      </c>
      <c r="C8" s="4">
        <v>13</v>
      </c>
      <c r="D8" s="4">
        <v>4</v>
      </c>
      <c r="E8" s="4" t="s">
        <v>54</v>
      </c>
      <c r="F8" s="4">
        <v>65</v>
      </c>
      <c r="G8" s="4">
        <v>76</v>
      </c>
      <c r="H8" s="4">
        <v>98</v>
      </c>
    </row>
    <row r="9" spans="1:8" x14ac:dyDescent="0.45">
      <c r="A9" s="25" t="s">
        <v>16</v>
      </c>
      <c r="B9" s="25" t="s">
        <v>48</v>
      </c>
      <c r="C9" s="25">
        <v>14</v>
      </c>
      <c r="D9" s="25">
        <v>5</v>
      </c>
      <c r="E9" s="25" t="s">
        <v>52</v>
      </c>
      <c r="F9" s="25">
        <v>99</v>
      </c>
      <c r="G9" s="25">
        <v>78</v>
      </c>
      <c r="H9" s="25">
        <v>78</v>
      </c>
    </row>
    <row r="10" spans="1:8" x14ac:dyDescent="0.45">
      <c r="A10" s="4" t="s">
        <v>17</v>
      </c>
      <c r="B10" s="4" t="s">
        <v>48</v>
      </c>
      <c r="C10" s="4">
        <v>8</v>
      </c>
      <c r="D10" s="4">
        <v>6</v>
      </c>
      <c r="E10" s="4" t="s">
        <v>51</v>
      </c>
      <c r="F10" s="4">
        <v>87</v>
      </c>
      <c r="G10" s="4">
        <v>89</v>
      </c>
      <c r="H10" s="4">
        <v>89</v>
      </c>
    </row>
    <row r="11" spans="1:8" x14ac:dyDescent="0.45">
      <c r="A11" s="25" t="s">
        <v>18</v>
      </c>
      <c r="B11" s="25" t="s">
        <v>47</v>
      </c>
      <c r="C11" s="25">
        <v>16</v>
      </c>
      <c r="D11" s="25">
        <v>5</v>
      </c>
      <c r="E11" s="25" t="s">
        <v>53</v>
      </c>
      <c r="F11" s="25">
        <v>78</v>
      </c>
      <c r="G11" s="25">
        <v>98</v>
      </c>
      <c r="H11" s="25">
        <v>87</v>
      </c>
    </row>
    <row r="12" spans="1:8" x14ac:dyDescent="0.45">
      <c r="A12" s="4" t="s">
        <v>19</v>
      </c>
      <c r="B12" s="4" t="s">
        <v>47</v>
      </c>
      <c r="C12" s="4">
        <v>17</v>
      </c>
      <c r="D12" s="4">
        <v>6</v>
      </c>
      <c r="E12" s="4" t="s">
        <v>54</v>
      </c>
      <c r="F12" s="4">
        <v>67</v>
      </c>
      <c r="G12" s="4">
        <v>89</v>
      </c>
      <c r="H12" s="4">
        <v>89</v>
      </c>
    </row>
    <row r="13" spans="1:8" x14ac:dyDescent="0.45">
      <c r="A13" s="25" t="s">
        <v>20</v>
      </c>
      <c r="B13" s="25" t="s">
        <v>47</v>
      </c>
      <c r="C13" s="25">
        <v>18</v>
      </c>
      <c r="D13" s="25">
        <v>7</v>
      </c>
      <c r="E13" s="25" t="s">
        <v>51</v>
      </c>
      <c r="F13" s="25">
        <v>76</v>
      </c>
      <c r="G13" s="25">
        <v>87</v>
      </c>
      <c r="H13" s="25">
        <v>98</v>
      </c>
    </row>
    <row r="14" spans="1:8" x14ac:dyDescent="0.45">
      <c r="A14" s="4" t="s">
        <v>21</v>
      </c>
      <c r="B14" s="4" t="s">
        <v>47</v>
      </c>
      <c r="C14" s="4">
        <v>19</v>
      </c>
      <c r="D14" s="4">
        <v>8</v>
      </c>
      <c r="E14" s="4" t="s">
        <v>54</v>
      </c>
      <c r="F14" s="4">
        <v>78</v>
      </c>
      <c r="G14" s="4">
        <v>89</v>
      </c>
      <c r="H14" s="4">
        <v>68</v>
      </c>
    </row>
    <row r="15" spans="1:8" x14ac:dyDescent="0.45">
      <c r="A15" s="25" t="s">
        <v>22</v>
      </c>
      <c r="B15" s="25" t="s">
        <v>48</v>
      </c>
      <c r="C15" s="25">
        <v>20</v>
      </c>
      <c r="D15" s="25">
        <v>9</v>
      </c>
      <c r="E15" s="25" t="s">
        <v>53</v>
      </c>
      <c r="F15" s="25">
        <v>87</v>
      </c>
      <c r="G15" s="25">
        <v>87</v>
      </c>
      <c r="H15" s="25">
        <v>78</v>
      </c>
    </row>
    <row r="16" spans="1:8" x14ac:dyDescent="0.45">
      <c r="A16" s="4" t="s">
        <v>23</v>
      </c>
      <c r="B16" s="4" t="s">
        <v>48</v>
      </c>
      <c r="C16" s="4">
        <v>9</v>
      </c>
      <c r="D16" s="4">
        <v>5</v>
      </c>
      <c r="E16" s="4" t="s">
        <v>52</v>
      </c>
      <c r="F16" s="4">
        <v>78</v>
      </c>
      <c r="G16" s="4">
        <v>89</v>
      </c>
      <c r="H16" s="4">
        <v>87</v>
      </c>
    </row>
    <row r="17" spans="1:8" x14ac:dyDescent="0.45">
      <c r="A17" s="25" t="s">
        <v>24</v>
      </c>
      <c r="B17" s="25" t="s">
        <v>48</v>
      </c>
      <c r="C17" s="25">
        <v>22</v>
      </c>
      <c r="D17" s="25">
        <v>9</v>
      </c>
      <c r="E17" s="25" t="s">
        <v>54</v>
      </c>
      <c r="F17" s="25">
        <v>87</v>
      </c>
      <c r="G17" s="25">
        <v>76</v>
      </c>
      <c r="H17" s="25">
        <v>67</v>
      </c>
    </row>
    <row r="18" spans="1:8" x14ac:dyDescent="0.45">
      <c r="A18" s="4" t="s">
        <v>25</v>
      </c>
      <c r="B18" s="4" t="s">
        <v>48</v>
      </c>
      <c r="C18" s="4">
        <v>12</v>
      </c>
      <c r="D18" s="4">
        <v>8</v>
      </c>
      <c r="E18" s="4" t="s">
        <v>52</v>
      </c>
      <c r="F18" s="4">
        <v>78</v>
      </c>
      <c r="G18" s="4">
        <v>78</v>
      </c>
      <c r="H18" s="4">
        <v>76</v>
      </c>
    </row>
    <row r="19" spans="1:8" x14ac:dyDescent="0.45">
      <c r="A19" s="25" t="s">
        <v>26</v>
      </c>
      <c r="B19" s="25" t="s">
        <v>47</v>
      </c>
      <c r="C19" s="25">
        <v>10</v>
      </c>
      <c r="D19" s="25">
        <v>8</v>
      </c>
      <c r="E19" s="25" t="s">
        <v>53</v>
      </c>
      <c r="F19" s="25">
        <v>98</v>
      </c>
      <c r="G19" s="25">
        <v>87</v>
      </c>
      <c r="H19" s="25">
        <v>78</v>
      </c>
    </row>
    <row r="20" spans="1:8" x14ac:dyDescent="0.45">
      <c r="A20" s="4" t="s">
        <v>27</v>
      </c>
      <c r="B20" s="4" t="s">
        <v>47</v>
      </c>
      <c r="C20" s="4">
        <v>25</v>
      </c>
      <c r="D20" s="4">
        <v>9</v>
      </c>
      <c r="E20" s="4" t="s">
        <v>51</v>
      </c>
      <c r="F20" s="4">
        <v>89</v>
      </c>
      <c r="G20" s="4">
        <v>89</v>
      </c>
      <c r="H20" s="4">
        <v>87</v>
      </c>
    </row>
    <row r="21" spans="1:8" x14ac:dyDescent="0.45">
      <c r="A21" s="25" t="s">
        <v>28</v>
      </c>
      <c r="B21" s="25" t="s">
        <v>47</v>
      </c>
      <c r="C21" s="25">
        <v>13</v>
      </c>
      <c r="D21" s="25">
        <v>7</v>
      </c>
      <c r="E21" s="25" t="s">
        <v>53</v>
      </c>
      <c r="F21" s="25">
        <v>78</v>
      </c>
      <c r="G21" s="25">
        <v>87</v>
      </c>
      <c r="H21" s="25">
        <v>78</v>
      </c>
    </row>
    <row r="22" spans="1:8" x14ac:dyDescent="0.45">
      <c r="A22" s="4" t="s">
        <v>29</v>
      </c>
      <c r="B22" s="4" t="s">
        <v>47</v>
      </c>
      <c r="C22" s="4">
        <v>27</v>
      </c>
      <c r="D22" s="4">
        <v>6</v>
      </c>
      <c r="E22" s="4" t="s">
        <v>54</v>
      </c>
      <c r="F22" s="4">
        <v>87</v>
      </c>
      <c r="G22" s="4">
        <v>78</v>
      </c>
      <c r="H22" s="4">
        <v>87</v>
      </c>
    </row>
    <row r="23" spans="1:8" x14ac:dyDescent="0.45">
      <c r="A23" s="25" t="s">
        <v>30</v>
      </c>
      <c r="B23" s="25" t="s">
        <v>48</v>
      </c>
      <c r="C23" s="25">
        <v>15</v>
      </c>
      <c r="D23" s="25">
        <v>5</v>
      </c>
      <c r="E23" s="25" t="s">
        <v>53</v>
      </c>
      <c r="F23" s="25">
        <v>98</v>
      </c>
      <c r="G23" s="25">
        <v>76</v>
      </c>
      <c r="H23" s="25">
        <v>89</v>
      </c>
    </row>
    <row r="24" spans="1:8" x14ac:dyDescent="0.45">
      <c r="A24" s="4" t="s">
        <v>31</v>
      </c>
      <c r="B24" s="4" t="s">
        <v>48</v>
      </c>
      <c r="C24" s="4">
        <v>29</v>
      </c>
      <c r="D24" s="4">
        <v>4</v>
      </c>
      <c r="E24" s="4" t="s">
        <v>52</v>
      </c>
      <c r="F24" s="4">
        <v>89</v>
      </c>
      <c r="G24" s="4">
        <v>78</v>
      </c>
      <c r="H24" s="4">
        <v>78</v>
      </c>
    </row>
  </sheetData>
  <mergeCells count="1">
    <mergeCell ref="A1:H3"/>
  </mergeCells>
  <conditionalFormatting sqref="A5:A24">
    <cfRule type="duplicateValues" dxfId="6" priority="1"/>
  </conditionalFormatting>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8B8DE3-137E-4160-B235-960BD5D76491}">
  <dimension ref="A1:H4"/>
  <sheetViews>
    <sheetView workbookViewId="0">
      <selection activeCell="K8" sqref="K8"/>
    </sheetView>
  </sheetViews>
  <sheetFormatPr defaultRowHeight="14.25" x14ac:dyDescent="0.45"/>
  <cols>
    <col min="2" max="2" width="9.796875" customWidth="1"/>
    <col min="6" max="7" width="13" customWidth="1"/>
    <col min="8" max="8" width="12.19921875" customWidth="1"/>
  </cols>
  <sheetData>
    <row r="1" spans="1:8" x14ac:dyDescent="0.45">
      <c r="A1" t="s">
        <v>1</v>
      </c>
      <c r="B1" t="s">
        <v>88</v>
      </c>
      <c r="C1" t="s">
        <v>2</v>
      </c>
      <c r="D1" t="s">
        <v>49</v>
      </c>
      <c r="E1" t="s">
        <v>50</v>
      </c>
      <c r="F1" t="s">
        <v>55</v>
      </c>
      <c r="G1" t="s">
        <v>56</v>
      </c>
      <c r="H1" t="s">
        <v>57</v>
      </c>
    </row>
    <row r="2" spans="1:8" x14ac:dyDescent="0.45">
      <c r="A2" t="s">
        <v>29</v>
      </c>
      <c r="B2" t="s">
        <v>47</v>
      </c>
      <c r="C2">
        <v>27</v>
      </c>
      <c r="D2">
        <v>6</v>
      </c>
      <c r="E2" t="s">
        <v>54</v>
      </c>
      <c r="F2">
        <v>87</v>
      </c>
      <c r="G2">
        <v>78</v>
      </c>
      <c r="H2">
        <v>87</v>
      </c>
    </row>
    <row r="3" spans="1:8" x14ac:dyDescent="0.45">
      <c r="A3" t="s">
        <v>21</v>
      </c>
      <c r="B3" t="s">
        <v>47</v>
      </c>
      <c r="C3">
        <v>19</v>
      </c>
      <c r="D3">
        <v>8</v>
      </c>
      <c r="E3" t="s">
        <v>54</v>
      </c>
      <c r="F3">
        <v>78</v>
      </c>
      <c r="G3">
        <v>89</v>
      </c>
      <c r="H3">
        <v>68</v>
      </c>
    </row>
    <row r="4" spans="1:8" x14ac:dyDescent="0.45">
      <c r="A4" t="s">
        <v>19</v>
      </c>
      <c r="B4" t="s">
        <v>47</v>
      </c>
      <c r="C4">
        <v>17</v>
      </c>
      <c r="D4">
        <v>6</v>
      </c>
      <c r="E4" t="s">
        <v>54</v>
      </c>
      <c r="F4">
        <v>67</v>
      </c>
      <c r="G4">
        <v>89</v>
      </c>
      <c r="H4">
        <v>89</v>
      </c>
    </row>
  </sheetData>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A419C8-F889-4B9F-A021-58DD4D71027B}">
  <dimension ref="A3:C11"/>
  <sheetViews>
    <sheetView workbookViewId="0">
      <selection activeCell="A4" sqref="A4"/>
    </sheetView>
  </sheetViews>
  <sheetFormatPr defaultRowHeight="14.25" x14ac:dyDescent="0.45"/>
  <cols>
    <col min="1" max="1" width="12.53125" bestFit="1" customWidth="1"/>
    <col min="2" max="2" width="9.53125" bestFit="1" customWidth="1"/>
    <col min="3" max="3" width="15.3984375" bestFit="1" customWidth="1"/>
    <col min="4" max="7" width="4" bestFit="1" customWidth="1"/>
    <col min="8" max="8" width="10.796875" bestFit="1" customWidth="1"/>
    <col min="9" max="9" width="3" bestFit="1" customWidth="1"/>
    <col min="10" max="10" width="10.796875" bestFit="1" customWidth="1"/>
  </cols>
  <sheetData>
    <row r="3" spans="1:3" x14ac:dyDescent="0.45">
      <c r="A3" s="29" t="s">
        <v>50</v>
      </c>
      <c r="B3" s="29" t="s">
        <v>88</v>
      </c>
      <c r="C3" t="s">
        <v>92</v>
      </c>
    </row>
    <row r="4" spans="1:3" x14ac:dyDescent="0.45">
      <c r="A4" t="s">
        <v>53</v>
      </c>
      <c r="B4" t="s">
        <v>48</v>
      </c>
      <c r="C4">
        <v>256</v>
      </c>
    </row>
    <row r="5" spans="1:3" x14ac:dyDescent="0.45">
      <c r="B5" t="s">
        <v>47</v>
      </c>
      <c r="C5">
        <v>243</v>
      </c>
    </row>
    <row r="6" spans="1:3" x14ac:dyDescent="0.45">
      <c r="A6" t="s">
        <v>54</v>
      </c>
      <c r="B6" t="s">
        <v>48</v>
      </c>
      <c r="C6">
        <v>165</v>
      </c>
    </row>
    <row r="7" spans="1:3" x14ac:dyDescent="0.45">
      <c r="B7" t="s">
        <v>47</v>
      </c>
      <c r="C7">
        <v>244</v>
      </c>
    </row>
    <row r="8" spans="1:3" x14ac:dyDescent="0.45">
      <c r="A8" t="s">
        <v>52</v>
      </c>
      <c r="B8" t="s">
        <v>48</v>
      </c>
      <c r="C8">
        <v>397</v>
      </c>
    </row>
    <row r="9" spans="1:3" x14ac:dyDescent="0.45">
      <c r="A9" t="s">
        <v>51</v>
      </c>
      <c r="B9" t="s">
        <v>48</v>
      </c>
      <c r="C9">
        <v>188</v>
      </c>
    </row>
    <row r="10" spans="1:3" x14ac:dyDescent="0.45">
      <c r="B10" t="s">
        <v>47</v>
      </c>
      <c r="C10">
        <v>185</v>
      </c>
    </row>
    <row r="11" spans="1:3" x14ac:dyDescent="0.45">
      <c r="A11" t="s">
        <v>91</v>
      </c>
      <c r="C11">
        <v>1678</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552B0A-3320-454F-BE18-FC2A13231590}">
  <dimension ref="A1:M24"/>
  <sheetViews>
    <sheetView workbookViewId="0">
      <selection activeCell="M10" sqref="M10"/>
    </sheetView>
  </sheetViews>
  <sheetFormatPr defaultRowHeight="14.25" x14ac:dyDescent="0.45"/>
  <cols>
    <col min="3" max="3" width="4.46484375" bestFit="1" customWidth="1"/>
    <col min="4" max="4" width="6.19921875" bestFit="1" customWidth="1"/>
    <col min="5" max="5" width="8.19921875" bestFit="1" customWidth="1"/>
    <col min="6" max="7" width="11.1328125" bestFit="1" customWidth="1"/>
    <col min="8" max="8" width="10.33203125" bestFit="1" customWidth="1"/>
    <col min="9" max="9" width="13.19921875" bestFit="1" customWidth="1"/>
  </cols>
  <sheetData>
    <row r="1" spans="1:13" x14ac:dyDescent="0.45">
      <c r="A1" s="55" t="s">
        <v>93</v>
      </c>
      <c r="B1" s="55"/>
      <c r="C1" s="55"/>
      <c r="D1" s="55"/>
      <c r="E1" s="55"/>
      <c r="F1" s="55"/>
    </row>
    <row r="2" spans="1:13" x14ac:dyDescent="0.45">
      <c r="A2" s="55"/>
      <c r="B2" s="55"/>
      <c r="C2" s="55"/>
      <c r="D2" s="55"/>
      <c r="E2" s="55"/>
      <c r="F2" s="55"/>
    </row>
    <row r="3" spans="1:13" x14ac:dyDescent="0.45">
      <c r="A3" s="55"/>
      <c r="B3" s="55"/>
      <c r="C3" s="55"/>
      <c r="D3" s="55"/>
      <c r="E3" s="55"/>
      <c r="F3" s="55"/>
    </row>
    <row r="4" spans="1:13" x14ac:dyDescent="0.45">
      <c r="A4" s="28" t="s">
        <v>1</v>
      </c>
      <c r="B4" s="28" t="s">
        <v>88</v>
      </c>
      <c r="C4" s="28" t="s">
        <v>2</v>
      </c>
      <c r="D4" s="28" t="s">
        <v>49</v>
      </c>
      <c r="E4" s="31" t="s">
        <v>50</v>
      </c>
      <c r="F4" s="31" t="s">
        <v>95</v>
      </c>
      <c r="G4" s="31" t="s">
        <v>96</v>
      </c>
      <c r="H4" s="31" t="s">
        <v>97</v>
      </c>
      <c r="I4" s="31" t="s">
        <v>99</v>
      </c>
      <c r="L4" s="32" t="s">
        <v>98</v>
      </c>
      <c r="M4" s="32" t="s">
        <v>94</v>
      </c>
    </row>
    <row r="5" spans="1:13" x14ac:dyDescent="0.45">
      <c r="A5" s="25" t="s">
        <v>12</v>
      </c>
      <c r="B5" s="25" t="s">
        <v>48</v>
      </c>
      <c r="C5" s="25">
        <v>10</v>
      </c>
      <c r="D5" s="25">
        <v>7</v>
      </c>
      <c r="E5" s="25" t="s">
        <v>51</v>
      </c>
      <c r="F5" s="25">
        <v>84</v>
      </c>
      <c r="G5" s="25">
        <v>78</v>
      </c>
      <c r="H5" s="25">
        <v>99</v>
      </c>
      <c r="I5" s="5">
        <f>SUM(F5,G5,H5)</f>
        <v>261</v>
      </c>
      <c r="L5" s="5" t="s">
        <v>96</v>
      </c>
      <c r="M5" s="5">
        <f>HLOOKUP(L5,A4:I24,6,0)</f>
        <v>78</v>
      </c>
    </row>
    <row r="6" spans="1:13" x14ac:dyDescent="0.45">
      <c r="A6" s="4" t="s">
        <v>13</v>
      </c>
      <c r="B6" s="4" t="s">
        <v>48</v>
      </c>
      <c r="C6" s="4">
        <v>11</v>
      </c>
      <c r="D6" s="4">
        <v>8</v>
      </c>
      <c r="E6" s="4" t="s">
        <v>52</v>
      </c>
      <c r="F6" s="4">
        <v>78</v>
      </c>
      <c r="G6" s="4">
        <v>87</v>
      </c>
      <c r="H6" s="4">
        <v>78</v>
      </c>
      <c r="I6" s="5">
        <f>SUM(F6,G6,H6)</f>
        <v>243</v>
      </c>
    </row>
    <row r="7" spans="1:13" x14ac:dyDescent="0.45">
      <c r="A7" s="25" t="s">
        <v>14</v>
      </c>
      <c r="B7" s="25" t="s">
        <v>48</v>
      </c>
      <c r="C7" s="25">
        <v>12</v>
      </c>
      <c r="D7" s="25">
        <v>8</v>
      </c>
      <c r="E7" s="25" t="s">
        <v>53</v>
      </c>
      <c r="F7" s="25">
        <v>67</v>
      </c>
      <c r="G7" s="25">
        <v>67</v>
      </c>
      <c r="H7" s="25">
        <v>89</v>
      </c>
      <c r="I7" s="5">
        <f>SUM(F7,G7,H7)</f>
        <v>223</v>
      </c>
    </row>
    <row r="8" spans="1:13" x14ac:dyDescent="0.45">
      <c r="A8" s="4" t="s">
        <v>15</v>
      </c>
      <c r="B8" s="4" t="s">
        <v>48</v>
      </c>
      <c r="C8" s="4">
        <v>13</v>
      </c>
      <c r="D8" s="4">
        <v>4</v>
      </c>
      <c r="E8" s="4" t="s">
        <v>54</v>
      </c>
      <c r="F8" s="4">
        <v>65</v>
      </c>
      <c r="G8" s="4">
        <v>76</v>
      </c>
      <c r="H8" s="4">
        <v>98</v>
      </c>
      <c r="I8" s="5">
        <f>SUM(F8,G8,H8)</f>
        <v>239</v>
      </c>
    </row>
    <row r="9" spans="1:13" x14ac:dyDescent="0.45">
      <c r="A9" s="25" t="s">
        <v>16</v>
      </c>
      <c r="B9" s="25" t="s">
        <v>48</v>
      </c>
      <c r="C9" s="25">
        <v>14</v>
      </c>
      <c r="D9" s="25">
        <v>5</v>
      </c>
      <c r="E9" s="25" t="s">
        <v>52</v>
      </c>
      <c r="F9" s="25">
        <v>99</v>
      </c>
      <c r="G9" s="25">
        <v>78</v>
      </c>
      <c r="H9" s="25">
        <v>78</v>
      </c>
      <c r="I9" s="5">
        <f>SUM(F9,G9,H9)</f>
        <v>255</v>
      </c>
    </row>
    <row r="10" spans="1:13" x14ac:dyDescent="0.45">
      <c r="A10" s="4" t="s">
        <v>17</v>
      </c>
      <c r="B10" s="4" t="s">
        <v>48</v>
      </c>
      <c r="C10" s="4">
        <v>8</v>
      </c>
      <c r="D10" s="4">
        <v>6</v>
      </c>
      <c r="E10" s="4" t="s">
        <v>51</v>
      </c>
      <c r="F10" s="4">
        <v>87</v>
      </c>
      <c r="G10" s="4">
        <v>89</v>
      </c>
      <c r="H10" s="4">
        <v>89</v>
      </c>
      <c r="I10" s="5">
        <f>SUM(F10,G10,H10)</f>
        <v>265</v>
      </c>
    </row>
    <row r="11" spans="1:13" x14ac:dyDescent="0.45">
      <c r="A11" s="25" t="s">
        <v>18</v>
      </c>
      <c r="B11" s="25" t="s">
        <v>47</v>
      </c>
      <c r="C11" s="25">
        <v>16</v>
      </c>
      <c r="D11" s="25">
        <v>5</v>
      </c>
      <c r="E11" s="25" t="s">
        <v>53</v>
      </c>
      <c r="F11" s="25">
        <v>78</v>
      </c>
      <c r="G11" s="25">
        <v>98</v>
      </c>
      <c r="H11" s="25">
        <v>87</v>
      </c>
      <c r="I11" s="5">
        <f>SUM(F11,G11,H11)</f>
        <v>263</v>
      </c>
    </row>
    <row r="12" spans="1:13" x14ac:dyDescent="0.45">
      <c r="A12" s="4" t="s">
        <v>19</v>
      </c>
      <c r="B12" s="4" t="s">
        <v>47</v>
      </c>
      <c r="C12" s="4">
        <v>17</v>
      </c>
      <c r="D12" s="4">
        <v>6</v>
      </c>
      <c r="E12" s="4" t="s">
        <v>54</v>
      </c>
      <c r="F12" s="4">
        <v>67</v>
      </c>
      <c r="G12" s="4">
        <v>89</v>
      </c>
      <c r="H12" s="4">
        <v>89</v>
      </c>
      <c r="I12" s="5">
        <f>SUM(F12,G12,H12)</f>
        <v>245</v>
      </c>
    </row>
    <row r="13" spans="1:13" x14ac:dyDescent="0.45">
      <c r="A13" s="25" t="s">
        <v>20</v>
      </c>
      <c r="B13" s="25" t="s">
        <v>47</v>
      </c>
      <c r="C13" s="25">
        <v>18</v>
      </c>
      <c r="D13" s="25">
        <v>7</v>
      </c>
      <c r="E13" s="25" t="s">
        <v>51</v>
      </c>
      <c r="F13" s="25">
        <v>76</v>
      </c>
      <c r="G13" s="25">
        <v>87</v>
      </c>
      <c r="H13" s="25">
        <v>98</v>
      </c>
      <c r="I13" s="5">
        <f>SUM(F13,G13,H13)</f>
        <v>261</v>
      </c>
    </row>
    <row r="14" spans="1:13" x14ac:dyDescent="0.45">
      <c r="A14" s="4" t="s">
        <v>21</v>
      </c>
      <c r="B14" s="4" t="s">
        <v>47</v>
      </c>
      <c r="C14" s="4">
        <v>19</v>
      </c>
      <c r="D14" s="4">
        <v>8</v>
      </c>
      <c r="E14" s="4" t="s">
        <v>54</v>
      </c>
      <c r="F14" s="4">
        <v>78</v>
      </c>
      <c r="G14" s="4">
        <v>89</v>
      </c>
      <c r="H14" s="4">
        <v>68</v>
      </c>
      <c r="I14" s="5">
        <f>SUM(F14,G14,H14)</f>
        <v>235</v>
      </c>
    </row>
    <row r="15" spans="1:13" x14ac:dyDescent="0.45">
      <c r="A15" s="25" t="s">
        <v>22</v>
      </c>
      <c r="B15" s="25" t="s">
        <v>48</v>
      </c>
      <c r="C15" s="25">
        <v>20</v>
      </c>
      <c r="D15" s="25">
        <v>9</v>
      </c>
      <c r="E15" s="25" t="s">
        <v>53</v>
      </c>
      <c r="F15" s="25">
        <v>87</v>
      </c>
      <c r="G15" s="25">
        <v>87</v>
      </c>
      <c r="H15" s="25">
        <v>78</v>
      </c>
      <c r="I15" s="5">
        <f>SUM(F15,G15,H15)</f>
        <v>252</v>
      </c>
    </row>
    <row r="16" spans="1:13" x14ac:dyDescent="0.45">
      <c r="A16" s="4" t="s">
        <v>23</v>
      </c>
      <c r="B16" s="4" t="s">
        <v>48</v>
      </c>
      <c r="C16" s="4">
        <v>9</v>
      </c>
      <c r="D16" s="4">
        <v>5</v>
      </c>
      <c r="E16" s="4" t="s">
        <v>52</v>
      </c>
      <c r="F16" s="4">
        <v>78</v>
      </c>
      <c r="G16" s="4">
        <v>89</v>
      </c>
      <c r="H16" s="4">
        <v>87</v>
      </c>
      <c r="I16" s="5">
        <f>SUM(F16,G16,H16)</f>
        <v>254</v>
      </c>
    </row>
    <row r="17" spans="1:9" x14ac:dyDescent="0.45">
      <c r="A17" s="25" t="s">
        <v>24</v>
      </c>
      <c r="B17" s="25" t="s">
        <v>48</v>
      </c>
      <c r="C17" s="25">
        <v>22</v>
      </c>
      <c r="D17" s="25">
        <v>9</v>
      </c>
      <c r="E17" s="25" t="s">
        <v>54</v>
      </c>
      <c r="F17" s="25">
        <v>87</v>
      </c>
      <c r="G17" s="25">
        <v>76</v>
      </c>
      <c r="H17" s="25">
        <v>67</v>
      </c>
      <c r="I17" s="5">
        <f>SUM(F17,G17,H17)</f>
        <v>230</v>
      </c>
    </row>
    <row r="18" spans="1:9" x14ac:dyDescent="0.45">
      <c r="A18" s="4" t="s">
        <v>25</v>
      </c>
      <c r="B18" s="4" t="s">
        <v>48</v>
      </c>
      <c r="C18" s="4">
        <v>12</v>
      </c>
      <c r="D18" s="4">
        <v>8</v>
      </c>
      <c r="E18" s="4" t="s">
        <v>52</v>
      </c>
      <c r="F18" s="4">
        <v>78</v>
      </c>
      <c r="G18" s="4">
        <v>78</v>
      </c>
      <c r="H18" s="4">
        <v>76</v>
      </c>
      <c r="I18" s="5">
        <f>SUM(F18,G18,H18)</f>
        <v>232</v>
      </c>
    </row>
    <row r="19" spans="1:9" x14ac:dyDescent="0.45">
      <c r="A19" s="25" t="s">
        <v>26</v>
      </c>
      <c r="B19" s="25" t="s">
        <v>47</v>
      </c>
      <c r="C19" s="25">
        <v>10</v>
      </c>
      <c r="D19" s="25">
        <v>8</v>
      </c>
      <c r="E19" s="25" t="s">
        <v>53</v>
      </c>
      <c r="F19" s="25">
        <v>98</v>
      </c>
      <c r="G19" s="25">
        <v>87</v>
      </c>
      <c r="H19" s="25">
        <v>78</v>
      </c>
      <c r="I19" s="5">
        <f>SUM(F19,G19,H19)</f>
        <v>263</v>
      </c>
    </row>
    <row r="20" spans="1:9" x14ac:dyDescent="0.45">
      <c r="A20" s="4" t="s">
        <v>27</v>
      </c>
      <c r="B20" s="4" t="s">
        <v>47</v>
      </c>
      <c r="C20" s="4">
        <v>12</v>
      </c>
      <c r="D20" s="4">
        <v>9</v>
      </c>
      <c r="E20" s="4" t="s">
        <v>51</v>
      </c>
      <c r="F20" s="4">
        <v>89</v>
      </c>
      <c r="G20" s="4">
        <v>89</v>
      </c>
      <c r="H20" s="4">
        <v>87</v>
      </c>
      <c r="I20" s="5">
        <f>SUM(F20,G20,H20)</f>
        <v>265</v>
      </c>
    </row>
    <row r="21" spans="1:9" x14ac:dyDescent="0.45">
      <c r="A21" s="25" t="s">
        <v>28</v>
      </c>
      <c r="B21" s="25" t="s">
        <v>47</v>
      </c>
      <c r="C21" s="25">
        <v>13</v>
      </c>
      <c r="D21" s="25">
        <v>7</v>
      </c>
      <c r="E21" s="25" t="s">
        <v>53</v>
      </c>
      <c r="F21" s="25">
        <v>78</v>
      </c>
      <c r="G21" s="25">
        <v>87</v>
      </c>
      <c r="H21" s="25">
        <v>78</v>
      </c>
      <c r="I21" s="5">
        <f>SUM(F21,G21,H21)</f>
        <v>243</v>
      </c>
    </row>
    <row r="22" spans="1:9" x14ac:dyDescent="0.45">
      <c r="A22" s="4" t="s">
        <v>29</v>
      </c>
      <c r="B22" s="4" t="s">
        <v>47</v>
      </c>
      <c r="C22" s="4">
        <v>27</v>
      </c>
      <c r="D22" s="4">
        <v>6</v>
      </c>
      <c r="E22" s="4" t="s">
        <v>54</v>
      </c>
      <c r="F22" s="4">
        <v>87</v>
      </c>
      <c r="G22" s="4">
        <v>78</v>
      </c>
      <c r="H22" s="4">
        <v>87</v>
      </c>
      <c r="I22" s="5">
        <f>SUM(F22,G22,H22)</f>
        <v>252</v>
      </c>
    </row>
    <row r="23" spans="1:9" x14ac:dyDescent="0.45">
      <c r="A23" s="25" t="s">
        <v>30</v>
      </c>
      <c r="B23" s="25" t="s">
        <v>48</v>
      </c>
      <c r="C23" s="25">
        <v>15</v>
      </c>
      <c r="D23" s="25">
        <v>5</v>
      </c>
      <c r="E23" s="25" t="s">
        <v>53</v>
      </c>
      <c r="F23" s="25">
        <v>98</v>
      </c>
      <c r="G23" s="25">
        <v>76</v>
      </c>
      <c r="H23" s="25">
        <v>89</v>
      </c>
      <c r="I23" s="5">
        <f>SUM(F23,G23,H23)</f>
        <v>263</v>
      </c>
    </row>
    <row r="24" spans="1:9" x14ac:dyDescent="0.45">
      <c r="A24" s="4" t="s">
        <v>31</v>
      </c>
      <c r="B24" s="4" t="s">
        <v>48</v>
      </c>
      <c r="C24" s="4">
        <v>11</v>
      </c>
      <c r="D24" s="4">
        <v>4</v>
      </c>
      <c r="E24" s="4" t="s">
        <v>52</v>
      </c>
      <c r="F24" s="4">
        <v>89</v>
      </c>
      <c r="G24" s="4">
        <v>78</v>
      </c>
      <c r="H24" s="4">
        <v>78</v>
      </c>
      <c r="I24" s="5">
        <f>SUM(F24,G24,H24)</f>
        <v>245</v>
      </c>
    </row>
  </sheetData>
  <mergeCells count="1">
    <mergeCell ref="A1:F3"/>
  </mergeCells>
  <conditionalFormatting sqref="A5:A24">
    <cfRule type="duplicateValues" dxfId="5" priority="2"/>
  </conditionalFormatting>
  <conditionalFormatting sqref="L4:M5">
    <cfRule type="colorScale" priority="1">
      <colorScale>
        <cfvo type="min"/>
        <cfvo type="max"/>
        <color rgb="FFFFEF9C"/>
        <color rgb="FF63BE7B"/>
      </colorScale>
    </cfRule>
  </conditionalFormatting>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D241CC-B773-4F8D-883C-C842D82351F7}">
  <dimension ref="A1:N18"/>
  <sheetViews>
    <sheetView workbookViewId="0">
      <selection activeCell="M17" sqref="M17"/>
    </sheetView>
  </sheetViews>
  <sheetFormatPr defaultRowHeight="14.25" x14ac:dyDescent="0.45"/>
  <cols>
    <col min="1" max="1" width="17.33203125" style="2" bestFit="1" customWidth="1"/>
    <col min="2" max="4" width="9.06640625" style="2"/>
    <col min="9" max="9" width="13.53125" bestFit="1" customWidth="1"/>
    <col min="12" max="12" width="22.1328125" bestFit="1" customWidth="1"/>
    <col min="13" max="13" width="11.86328125" bestFit="1" customWidth="1"/>
  </cols>
  <sheetData>
    <row r="1" spans="1:14" x14ac:dyDescent="0.45">
      <c r="A1" s="36" t="s">
        <v>100</v>
      </c>
      <c r="B1" s="37"/>
      <c r="C1" s="37"/>
      <c r="D1" s="37"/>
      <c r="E1" s="37"/>
      <c r="F1" s="38"/>
    </row>
    <row r="2" spans="1:14" x14ac:dyDescent="0.45">
      <c r="A2" s="39"/>
      <c r="B2" s="40"/>
      <c r="C2" s="40"/>
      <c r="D2" s="40"/>
      <c r="E2" s="40"/>
      <c r="F2" s="41"/>
    </row>
    <row r="3" spans="1:14" ht="14.65" thickBot="1" x14ac:dyDescent="0.5">
      <c r="A3" s="42"/>
      <c r="B3" s="43"/>
      <c r="C3" s="43"/>
      <c r="D3" s="43"/>
      <c r="E3" s="43"/>
      <c r="F3" s="44"/>
    </row>
    <row r="5" spans="1:14" x14ac:dyDescent="0.45">
      <c r="A5" s="33" t="s">
        <v>1</v>
      </c>
      <c r="B5" s="33" t="s">
        <v>101</v>
      </c>
      <c r="C5" s="33" t="s">
        <v>102</v>
      </c>
      <c r="D5" s="33" t="s">
        <v>103</v>
      </c>
    </row>
    <row r="6" spans="1:14" x14ac:dyDescent="0.45">
      <c r="A6" s="4" t="s">
        <v>25</v>
      </c>
      <c r="B6" s="4" t="s">
        <v>107</v>
      </c>
      <c r="C6" s="4" t="s">
        <v>111</v>
      </c>
      <c r="D6" s="4">
        <v>12000</v>
      </c>
    </row>
    <row r="7" spans="1:14" x14ac:dyDescent="0.45">
      <c r="A7" s="4" t="s">
        <v>104</v>
      </c>
      <c r="B7" s="4" t="s">
        <v>108</v>
      </c>
      <c r="C7" s="4" t="s">
        <v>112</v>
      </c>
      <c r="D7" s="4">
        <v>15500</v>
      </c>
    </row>
    <row r="8" spans="1:14" x14ac:dyDescent="0.45">
      <c r="A8" s="4" t="s">
        <v>12</v>
      </c>
      <c r="B8" s="4" t="s">
        <v>109</v>
      </c>
      <c r="C8" s="4" t="s">
        <v>113</v>
      </c>
      <c r="D8" s="4">
        <v>14000</v>
      </c>
    </row>
    <row r="9" spans="1:14" x14ac:dyDescent="0.45">
      <c r="A9" s="4" t="s">
        <v>105</v>
      </c>
      <c r="B9" s="4" t="s">
        <v>107</v>
      </c>
      <c r="C9" s="4" t="s">
        <v>111</v>
      </c>
      <c r="D9" s="4">
        <v>13000</v>
      </c>
    </row>
    <row r="10" spans="1:14" x14ac:dyDescent="0.45">
      <c r="A10" s="4" t="s">
        <v>23</v>
      </c>
      <c r="B10" s="4" t="s">
        <v>109</v>
      </c>
      <c r="C10" s="4" t="s">
        <v>113</v>
      </c>
      <c r="D10" s="4">
        <v>16500</v>
      </c>
    </row>
    <row r="11" spans="1:14" x14ac:dyDescent="0.45">
      <c r="A11" s="4" t="s">
        <v>106</v>
      </c>
      <c r="B11" s="4" t="s">
        <v>110</v>
      </c>
      <c r="C11" s="4" t="s">
        <v>112</v>
      </c>
      <c r="D11" s="4">
        <v>17600</v>
      </c>
    </row>
    <row r="12" spans="1:14" x14ac:dyDescent="0.45">
      <c r="A12" s="4" t="s">
        <v>22</v>
      </c>
      <c r="B12" s="4" t="s">
        <v>108</v>
      </c>
      <c r="C12" s="4" t="s">
        <v>112</v>
      </c>
      <c r="D12" s="4">
        <v>12400</v>
      </c>
    </row>
    <row r="13" spans="1:14" x14ac:dyDescent="0.45">
      <c r="A13" s="4" t="s">
        <v>15</v>
      </c>
      <c r="B13" s="4" t="s">
        <v>109</v>
      </c>
      <c r="C13" s="4" t="s">
        <v>113</v>
      </c>
      <c r="D13" s="4">
        <v>12300</v>
      </c>
    </row>
    <row r="14" spans="1:14" x14ac:dyDescent="0.45">
      <c r="H14" s="5"/>
      <c r="I14" s="5"/>
      <c r="J14" s="5"/>
      <c r="K14" s="5"/>
      <c r="L14" s="5"/>
      <c r="M14" s="5"/>
      <c r="N14" s="5"/>
    </row>
    <row r="15" spans="1:14" ht="23.25" x14ac:dyDescent="0.7">
      <c r="H15" s="5"/>
      <c r="I15" s="5"/>
      <c r="J15" s="34" t="s">
        <v>114</v>
      </c>
      <c r="K15" s="5"/>
      <c r="L15" s="5"/>
      <c r="M15" s="35" t="s">
        <v>115</v>
      </c>
      <c r="N15" s="5"/>
    </row>
    <row r="16" spans="1:14" x14ac:dyDescent="0.45">
      <c r="H16" s="5"/>
      <c r="I16" s="5" t="s">
        <v>116</v>
      </c>
      <c r="J16" s="5">
        <f ca="1">SUMIF(C6:C13,"EAST",M16)</f>
        <v>0</v>
      </c>
      <c r="K16" s="5"/>
      <c r="L16" s="5" t="s">
        <v>117</v>
      </c>
      <c r="M16" s="5">
        <f>SUMIFS(D6:D13,B6:B13,"PUNJAB",C6:C13,"NORTH")</f>
        <v>25000</v>
      </c>
      <c r="N16" s="5"/>
    </row>
    <row r="17" spans="8:14" x14ac:dyDescent="0.45">
      <c r="H17" s="5"/>
      <c r="I17" s="5"/>
      <c r="J17" s="5"/>
      <c r="K17" s="5"/>
      <c r="L17" s="5"/>
      <c r="M17" s="5"/>
      <c r="N17" s="5"/>
    </row>
    <row r="18" spans="8:14" x14ac:dyDescent="0.45">
      <c r="H18" s="5"/>
      <c r="I18" s="5"/>
      <c r="J18" s="5"/>
      <c r="K18" s="5"/>
      <c r="L18" s="5"/>
      <c r="M18" s="5"/>
      <c r="N18" s="5"/>
    </row>
  </sheetData>
  <mergeCells count="1">
    <mergeCell ref="A1:F3"/>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92CF8F-740D-4C7F-995F-61F2A75A9855}">
  <dimension ref="A1"/>
  <sheetViews>
    <sheetView tabSelected="1" workbookViewId="0"/>
  </sheetViews>
  <sheetFormatPr defaultRowHeight="14.25" x14ac:dyDescent="0.4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PROJECT1</vt:lpstr>
      <vt:lpstr>BASIC </vt:lpstr>
      <vt:lpstr>SLICER</vt:lpstr>
      <vt:lpstr>HYPERLINK</vt:lpstr>
      <vt:lpstr>DROP DOWN</vt:lpstr>
      <vt:lpstr>GRAPH</vt:lpstr>
      <vt:lpstr>VLOOKUP</vt:lpstr>
      <vt:lpstr> PIVOT TABLE1</vt:lpstr>
      <vt:lpstr>2</vt:lpstr>
      <vt:lpstr>3</vt:lpstr>
      <vt:lpstr>HLOOKUP</vt:lpstr>
      <vt:lpstr>SUMIF,IFS</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Aditya Jaswal</dc:creator>
  <cp:lastModifiedBy>Sujnan Acharya</cp:lastModifiedBy>
  <dcterms:created xsi:type="dcterms:W3CDTF">2023-06-19T14:32:25Z</dcterms:created>
  <dcterms:modified xsi:type="dcterms:W3CDTF">2026-07-05T17:35:29Z</dcterms:modified>
</cp:coreProperties>
</file>